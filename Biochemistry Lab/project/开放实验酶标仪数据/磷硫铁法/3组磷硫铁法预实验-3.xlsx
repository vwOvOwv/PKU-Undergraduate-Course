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开放实验/开放实验酶标仪数据/磷硫铁法/"/>
    </mc:Choice>
  </mc:AlternateContent>
  <xr:revisionPtr revIDLastSave="0" documentId="13_ncr:1_{E271CC4D-E4C2-7242-A602-7BD323F4335E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板 1 - Sheet1" sheetId="1" r:id="rId1"/>
  </sheets>
  <definedNames>
    <definedName name="MethodPointer1">-704612208</definedName>
    <definedName name="MethodPointer2">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49" i="1" l="1"/>
  <c r="W49" i="1"/>
  <c r="X49" i="1"/>
  <c r="Y49" i="1"/>
  <c r="Z49" i="1"/>
  <c r="AA49" i="1"/>
  <c r="AB49" i="1"/>
  <c r="U49" i="1"/>
  <c r="V48" i="1"/>
  <c r="W48" i="1"/>
  <c r="X48" i="1"/>
  <c r="Y48" i="1"/>
  <c r="Z48" i="1"/>
  <c r="AA48" i="1"/>
  <c r="AB48" i="1"/>
  <c r="U48" i="1"/>
  <c r="C39" i="1" a="1"/>
  <c r="C39" i="1" s="1"/>
  <c r="U31" i="1"/>
  <c r="V31" i="1" s="1"/>
  <c r="U33" i="1"/>
  <c r="V33" i="1" s="1"/>
  <c r="U18" i="1"/>
  <c r="U19" i="1"/>
  <c r="U20" i="1"/>
  <c r="U21" i="1"/>
  <c r="U22" i="1"/>
  <c r="U25" i="1"/>
  <c r="U27" i="1"/>
  <c r="V27" i="1" s="1"/>
  <c r="U28" i="1"/>
  <c r="V28" i="1" s="1"/>
  <c r="U29" i="1"/>
  <c r="V29" i="1" s="1"/>
  <c r="U30" i="1"/>
  <c r="V30" i="1" s="1"/>
  <c r="U32" i="1"/>
  <c r="V32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<sst xmlns="http://schemas.openxmlformats.org/spreadsheetml/2006/main" count="33" uniqueCount="33">
  <si>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</si>
  <si>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</si>
  <si>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</si>
  <si>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周五三组预实验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-3.xpt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</si>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</sst>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反应10分钟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'板 1 - Sheet1'!$T$27:$T$39</c:f>
              <c:numCache>
                <c:formatCode>General</c:formatCode>
                <c:ptCount val="13"/>
                <c:pt idx="0">
                  <c:v>0.13999999999999999</c:v>
                </c:pt>
                <c:pt idx="1">
                  <c:v>0.12</c:v>
                </c:pt>
                <c:pt idx="2">
                  <c:v>0.1</c:v>
                </c:pt>
                <c:pt idx="3">
                  <c:v>8.0000000000000016E-2</c:v>
                </c:pt>
                <c:pt idx="4">
                  <c:v>0.06</c:v>
                </c:pt>
                <c:pt idx="5">
                  <c:v>4.0000000000000008E-2</c:v>
                </c:pt>
                <c:pt idx="6">
                  <c:v>2.0000000000000004E-2</c:v>
                </c:pt>
                <c:pt idx="7">
                  <c:v>1.0000000000000002E-2</c:v>
                </c:pt>
                <c:pt idx="8">
                  <c:v>8.0000000000000002E-3</c:v>
                </c:pt>
                <c:pt idx="9">
                  <c:v>4.0000000000000001E-3</c:v>
                </c:pt>
                <c:pt idx="10">
                  <c:v>2E-3</c:v>
                </c:pt>
                <c:pt idx="11">
                  <c:v>1E-3</c:v>
                </c:pt>
                <c:pt idx="12">
                  <c:v>0</c:v>
                </c:pt>
              </c:numCache>
            </c:numRef>
          </c:cat>
          <c:val>
            <c:numRef>
              <c:f>'板 1 - Sheet1'!$V$27:$V$39</c:f>
              <c:numCache>
                <c:formatCode>General</c:formatCode>
                <c:ptCount val="13"/>
                <c:pt idx="0">
                  <c:v>2.339</c:v>
                </c:pt>
                <c:pt idx="1">
                  <c:v>1.9460000000000002</c:v>
                </c:pt>
                <c:pt idx="2">
                  <c:v>1.5640000000000001</c:v>
                </c:pt>
                <c:pt idx="3">
                  <c:v>1.2370000000000001</c:v>
                </c:pt>
                <c:pt idx="4">
                  <c:v>0.78749999999999998</c:v>
                </c:pt>
                <c:pt idx="5">
                  <c:v>0.69650000000000001</c:v>
                </c:pt>
                <c:pt idx="6">
                  <c:v>0.27749999999999997</c:v>
                </c:pt>
                <c:pt idx="7">
                  <c:v>0.16299999999999998</c:v>
                </c:pt>
                <c:pt idx="8">
                  <c:v>0.10349999999999999</c:v>
                </c:pt>
                <c:pt idx="9">
                  <c:v>6.7999999999999991E-2</c:v>
                </c:pt>
                <c:pt idx="10">
                  <c:v>4.3999999999999997E-2</c:v>
                </c:pt>
                <c:pt idx="11">
                  <c:v>6.0000000000000053E-3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F1-8A4B-8B15-D7DBCC1A3F0C}"/>
            </c:ext>
          </c:extLst>
        </c:ser>
        <c:ser>
          <c:idx val="1"/>
          <c:order val="1"/>
          <c:tx>
            <c:v>反应20分钟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'板 1 - Sheet1'!$T$27:$T$39</c:f>
              <c:numCache>
                <c:formatCode>General</c:formatCode>
                <c:ptCount val="13"/>
                <c:pt idx="0">
                  <c:v>0.13999999999999999</c:v>
                </c:pt>
                <c:pt idx="1">
                  <c:v>0.12</c:v>
                </c:pt>
                <c:pt idx="2">
                  <c:v>0.1</c:v>
                </c:pt>
                <c:pt idx="3">
                  <c:v>8.0000000000000016E-2</c:v>
                </c:pt>
                <c:pt idx="4">
                  <c:v>0.06</c:v>
                </c:pt>
                <c:pt idx="5">
                  <c:v>4.0000000000000008E-2</c:v>
                </c:pt>
                <c:pt idx="6">
                  <c:v>2.0000000000000004E-2</c:v>
                </c:pt>
                <c:pt idx="7">
                  <c:v>1.0000000000000002E-2</c:v>
                </c:pt>
                <c:pt idx="8">
                  <c:v>8.0000000000000002E-3</c:v>
                </c:pt>
                <c:pt idx="9">
                  <c:v>4.0000000000000001E-3</c:v>
                </c:pt>
                <c:pt idx="10">
                  <c:v>2E-3</c:v>
                </c:pt>
                <c:pt idx="11">
                  <c:v>1E-3</c:v>
                </c:pt>
                <c:pt idx="12">
                  <c:v>0</c:v>
                </c:pt>
              </c:numCache>
            </c:numRef>
          </c:cat>
          <c:val>
            <c:numRef>
              <c:f>'板 1 - Sheet1'!$W$27:$W$39</c:f>
              <c:numCache>
                <c:formatCode>General</c:formatCode>
                <c:ptCount val="13"/>
                <c:pt idx="0">
                  <c:v>2.3479999999999999</c:v>
                </c:pt>
                <c:pt idx="1">
                  <c:v>2.0249999999999999</c:v>
                </c:pt>
                <c:pt idx="2">
                  <c:v>1.637</c:v>
                </c:pt>
                <c:pt idx="3">
                  <c:v>1.3499999999999999</c:v>
                </c:pt>
                <c:pt idx="4">
                  <c:v>0.88500000000000001</c:v>
                </c:pt>
                <c:pt idx="5">
                  <c:v>0.749</c:v>
                </c:pt>
                <c:pt idx="6">
                  <c:v>0.315</c:v>
                </c:pt>
                <c:pt idx="7">
                  <c:v>0.18049999999999999</c:v>
                </c:pt>
                <c:pt idx="8">
                  <c:v>0.11600000000000001</c:v>
                </c:pt>
                <c:pt idx="9">
                  <c:v>7.2499999999999995E-2</c:v>
                </c:pt>
                <c:pt idx="10">
                  <c:v>4.7E-2</c:v>
                </c:pt>
                <c:pt idx="11">
                  <c:v>6.5000000000000058E-3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F3-2748-8D61-A5A3B3C68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281536"/>
        <c:axId val="143303808"/>
      </c:barChart>
      <c:catAx>
        <c:axId val="143281536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3303808"/>
        <c:crosses val="autoZero"/>
        <c:auto val="1"/>
        <c:lblAlgn val="ctr"/>
        <c:lblOffset val="100"/>
        <c:noMultiLvlLbl val="1"/>
      </c:catAx>
      <c:valAx>
        <c:axId val="1433038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328153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反应10分钟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9251749781277342E-2"/>
                  <c:y val="0.269119276757072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'板 1 - Sheet1'!$T$27:$T$39</c:f>
              <c:numCache>
                <c:formatCode>General</c:formatCode>
                <c:ptCount val="13"/>
                <c:pt idx="0">
                  <c:v>0.13999999999999999</c:v>
                </c:pt>
                <c:pt idx="1">
                  <c:v>0.12</c:v>
                </c:pt>
                <c:pt idx="2">
                  <c:v>0.1</c:v>
                </c:pt>
                <c:pt idx="3">
                  <c:v>8.0000000000000016E-2</c:v>
                </c:pt>
                <c:pt idx="4">
                  <c:v>0.06</c:v>
                </c:pt>
                <c:pt idx="5">
                  <c:v>4.0000000000000008E-2</c:v>
                </c:pt>
                <c:pt idx="6">
                  <c:v>2.0000000000000004E-2</c:v>
                </c:pt>
                <c:pt idx="7">
                  <c:v>1.0000000000000002E-2</c:v>
                </c:pt>
                <c:pt idx="8">
                  <c:v>8.0000000000000002E-3</c:v>
                </c:pt>
                <c:pt idx="9">
                  <c:v>4.0000000000000001E-3</c:v>
                </c:pt>
                <c:pt idx="10">
                  <c:v>2E-3</c:v>
                </c:pt>
                <c:pt idx="11">
                  <c:v>1E-3</c:v>
                </c:pt>
                <c:pt idx="12">
                  <c:v>0</c:v>
                </c:pt>
              </c:numCache>
            </c:numRef>
          </c:xVal>
          <c:yVal>
            <c:numRef>
              <c:f>'板 1 - Sheet1'!$V$27:$V$39</c:f>
              <c:numCache>
                <c:formatCode>General</c:formatCode>
                <c:ptCount val="13"/>
                <c:pt idx="0">
                  <c:v>2.339</c:v>
                </c:pt>
                <c:pt idx="1">
                  <c:v>1.9460000000000002</c:v>
                </c:pt>
                <c:pt idx="2">
                  <c:v>1.5640000000000001</c:v>
                </c:pt>
                <c:pt idx="3">
                  <c:v>1.2370000000000001</c:v>
                </c:pt>
                <c:pt idx="4">
                  <c:v>0.78749999999999998</c:v>
                </c:pt>
                <c:pt idx="5">
                  <c:v>0.69650000000000001</c:v>
                </c:pt>
                <c:pt idx="6">
                  <c:v>0.27749999999999997</c:v>
                </c:pt>
                <c:pt idx="7">
                  <c:v>0.16299999999999998</c:v>
                </c:pt>
                <c:pt idx="8">
                  <c:v>0.10349999999999999</c:v>
                </c:pt>
                <c:pt idx="9">
                  <c:v>6.7999999999999991E-2</c:v>
                </c:pt>
                <c:pt idx="10">
                  <c:v>4.3999999999999997E-2</c:v>
                </c:pt>
                <c:pt idx="11">
                  <c:v>6.0000000000000053E-3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E3-4A4C-8C3F-48E78441340F}"/>
            </c:ext>
          </c:extLst>
        </c:ser>
        <c:ser>
          <c:idx val="1"/>
          <c:order val="1"/>
          <c:tx>
            <c:v>反应20分钟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869619422572178"/>
                  <c:y val="6.007582385535141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'板 1 - Sheet1'!$T$27:$T$39</c:f>
              <c:numCache>
                <c:formatCode>General</c:formatCode>
                <c:ptCount val="13"/>
                <c:pt idx="0">
                  <c:v>0.13999999999999999</c:v>
                </c:pt>
                <c:pt idx="1">
                  <c:v>0.12</c:v>
                </c:pt>
                <c:pt idx="2">
                  <c:v>0.1</c:v>
                </c:pt>
                <c:pt idx="3">
                  <c:v>8.0000000000000016E-2</c:v>
                </c:pt>
                <c:pt idx="4">
                  <c:v>0.06</c:v>
                </c:pt>
                <c:pt idx="5">
                  <c:v>4.0000000000000008E-2</c:v>
                </c:pt>
                <c:pt idx="6">
                  <c:v>2.0000000000000004E-2</c:v>
                </c:pt>
                <c:pt idx="7">
                  <c:v>1.0000000000000002E-2</c:v>
                </c:pt>
                <c:pt idx="8">
                  <c:v>8.0000000000000002E-3</c:v>
                </c:pt>
                <c:pt idx="9">
                  <c:v>4.0000000000000001E-3</c:v>
                </c:pt>
                <c:pt idx="10">
                  <c:v>2E-3</c:v>
                </c:pt>
                <c:pt idx="11">
                  <c:v>1E-3</c:v>
                </c:pt>
                <c:pt idx="12">
                  <c:v>0</c:v>
                </c:pt>
              </c:numCache>
            </c:numRef>
          </c:xVal>
          <c:yVal>
            <c:numRef>
              <c:f>'板 1 - Sheet1'!$W$27:$W$39</c:f>
              <c:numCache>
                <c:formatCode>General</c:formatCode>
                <c:ptCount val="13"/>
                <c:pt idx="0">
                  <c:v>2.3479999999999999</c:v>
                </c:pt>
                <c:pt idx="1">
                  <c:v>2.0249999999999999</c:v>
                </c:pt>
                <c:pt idx="2">
                  <c:v>1.637</c:v>
                </c:pt>
                <c:pt idx="3">
                  <c:v>1.3499999999999999</c:v>
                </c:pt>
                <c:pt idx="4">
                  <c:v>0.88500000000000001</c:v>
                </c:pt>
                <c:pt idx="5">
                  <c:v>0.749</c:v>
                </c:pt>
                <c:pt idx="6">
                  <c:v>0.315</c:v>
                </c:pt>
                <c:pt idx="7">
                  <c:v>0.18049999999999999</c:v>
                </c:pt>
                <c:pt idx="8">
                  <c:v>0.11600000000000001</c:v>
                </c:pt>
                <c:pt idx="9">
                  <c:v>7.2499999999999995E-2</c:v>
                </c:pt>
                <c:pt idx="10">
                  <c:v>4.7E-2</c:v>
                </c:pt>
                <c:pt idx="11">
                  <c:v>6.5000000000000058E-3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E3-4A4C-8C3F-48E784413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308016"/>
        <c:axId val="1695461712"/>
      </c:scatterChart>
      <c:valAx>
        <c:axId val="169530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95461712"/>
        <c:crosses val="autoZero"/>
        <c:crossBetween val="midCat"/>
      </c:valAx>
      <c:valAx>
        <c:axId val="169546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69530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349250</xdr:colOff>
      <xdr:row>6</xdr:row>
      <xdr:rowOff>9525</xdr:rowOff>
    </xdr:from>
    <xdr:to>
      <xdr:col>16</xdr:col>
      <xdr:colOff>654050</xdr:colOff>
      <xdr:row>23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169708</xdr:colOff>
      <xdr:row>1</xdr:row>
      <xdr:rowOff>67434</xdr:rowOff>
    </xdr:from>
    <xdr:to>
      <xdr:col>24</xdr:col>
      <xdr:colOff>21354</xdr:colOff>
      <xdr:row>16</xdr:row>
      <xdr:rowOff>135767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B8E5A8-3B02-3140-9256-7EE300189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51"/>
  <sheetViews>
    <sheetView tabSelected="1" zoomScale="75" workbookViewId="0">
      <selection activeCell="U49" sqref="U49:AB49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2" spans="1:21" ht="14">
      <c r="A2" s="1" t="s">
        <v>0</v>
      </c>
      <c r="B2" t="s">
        <v>1</v>
      </c>
    </row>
    <row r="4" spans="1:21" ht="14">
      <c r="A4" s="1" t="s">
        <v>2</v>
      </c>
      <c r="B4" t="s">
        <v>3</v>
      </c>
    </row>
    <row r="5" spans="1:21" ht="14">
      <c r="A5" s="1" t="s">
        <v>4</v>
      </c>
    </row>
    <row r="6" spans="1:21" ht="14">
      <c r="A6" s="1" t="s">
        <v>5</v>
      </c>
      <c r="B6" s="1" t="s">
        <v>6</v>
      </c>
    </row>
    <row r="7" spans="1:21" ht="14">
      <c r="A7" s="1" t="s">
        <v>7</v>
      </c>
      <c r="B7" s="2">
        <v>45618</v>
      </c>
    </row>
    <row r="8" spans="1:21" ht="14">
      <c r="A8" s="1" t="s">
        <v>8</v>
      </c>
      <c r="B8" s="3">
        <v>0.71670138888888879</v>
      </c>
    </row>
    <row r="9" spans="1:21" ht="14">
      <c r="A9" s="1" t="s">
        <v>9</v>
      </c>
      <c r="B9" t="s">
        <v>10</v>
      </c>
    </row>
    <row r="10" spans="1:21" ht="14">
      <c r="A10" s="1" t="s">
        <v>11</v>
      </c>
      <c r="B10">
        <v>19012425</v>
      </c>
    </row>
    <row r="11" spans="1:21" ht="14">
      <c r="A11" s="1" t="s">
        <v>12</v>
      </c>
      <c r="B11" s="1" t="s">
        <v>13</v>
      </c>
    </row>
    <row r="13" spans="1:21" ht="14">
      <c r="A13" s="4" t="s">
        <v>14</v>
      </c>
      <c r="B13" s="5"/>
    </row>
    <row r="14" spans="1:21" ht="14">
      <c r="A14" s="1" t="s">
        <v>15</v>
      </c>
      <c r="B14" t="s">
        <v>16</v>
      </c>
    </row>
    <row r="15" spans="1:21" ht="14">
      <c r="A15" s="1" t="s">
        <v>17</v>
      </c>
    </row>
    <row r="16" spans="1:21" ht="14">
      <c r="A16" s="1" t="s">
        <v>18</v>
      </c>
      <c r="B16" s="1" t="s">
        <v>19</v>
      </c>
      <c r="R16" s="11">
        <v>3.2330000000000001</v>
      </c>
      <c r="S16" s="11">
        <v>3.2170000000000001</v>
      </c>
      <c r="T16">
        <v>3.6</v>
      </c>
      <c r="U16">
        <f t="shared" ref="U16:U39" si="0">(R16+S16)/2</f>
        <v>3.2250000000000001</v>
      </c>
    </row>
    <row r="17" spans="1:26" ht="14">
      <c r="B17" s="1" t="s">
        <v>20</v>
      </c>
      <c r="R17" s="11">
        <v>3.2610000000000001</v>
      </c>
      <c r="S17" s="15">
        <v>3.141</v>
      </c>
    </row>
    <row r="18" spans="1:26" ht="14">
      <c r="B18" s="1" t="s">
        <v>21</v>
      </c>
      <c r="R18" s="11">
        <v>3.3730000000000002</v>
      </c>
      <c r="S18" s="11">
        <v>3.1890000000000001</v>
      </c>
      <c r="T18">
        <v>3.2</v>
      </c>
      <c r="U18">
        <f t="shared" si="0"/>
        <v>3.2810000000000001</v>
      </c>
    </row>
    <row r="19" spans="1:26" ht="14">
      <c r="B19" s="1" t="s">
        <v>22</v>
      </c>
      <c r="R19" s="11">
        <v>3.3220000000000001</v>
      </c>
      <c r="S19" s="11">
        <v>3.3820000000000001</v>
      </c>
      <c r="T19">
        <v>3</v>
      </c>
      <c r="U19">
        <f t="shared" si="0"/>
        <v>3.3520000000000003</v>
      </c>
    </row>
    <row r="20" spans="1:26">
      <c r="R20" s="15">
        <v>2.9460000000000002</v>
      </c>
      <c r="S20" s="11">
        <v>3.3140000000000001</v>
      </c>
      <c r="T20">
        <v>2.8</v>
      </c>
      <c r="U20">
        <f t="shared" si="0"/>
        <v>3.13</v>
      </c>
    </row>
    <row r="21" spans="1:26" ht="14">
      <c r="A21" s="4" t="s">
        <v>23</v>
      </c>
      <c r="B21" s="5"/>
      <c r="R21" s="17">
        <v>2.798</v>
      </c>
      <c r="S21" s="11">
        <v>3.4020000000000001</v>
      </c>
      <c r="T21">
        <v>2.6</v>
      </c>
      <c r="U21">
        <f t="shared" si="0"/>
        <v>3.1</v>
      </c>
    </row>
    <row r="22" spans="1:26" ht="14">
      <c r="A22" s="1" t="s">
        <v>24</v>
      </c>
      <c r="B22">
        <v>23.9</v>
      </c>
      <c r="R22" s="9">
        <v>2.403</v>
      </c>
      <c r="S22" s="11">
        <v>3.169</v>
      </c>
      <c r="T22">
        <v>2.4</v>
      </c>
      <c r="U22">
        <f t="shared" si="0"/>
        <v>2.786</v>
      </c>
    </row>
    <row r="23" spans="1:26">
      <c r="R23" s="15">
        <v>3.0880000000000001</v>
      </c>
      <c r="S23" s="10">
        <v>2.1219999999999999</v>
      </c>
    </row>
    <row r="24" spans="1:26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R24" s="9">
        <v>2.4020000000000001</v>
      </c>
      <c r="S24" s="10">
        <v>2.1309999999999998</v>
      </c>
    </row>
    <row r="25" spans="1:26" ht="14">
      <c r="B25" s="7" t="s">
        <v>25</v>
      </c>
      <c r="C25" s="8">
        <v>0.77400000000000002</v>
      </c>
      <c r="D25" s="8">
        <v>0.77100000000000002</v>
      </c>
      <c r="E25" s="9">
        <v>2.4020000000000001</v>
      </c>
      <c r="F25" s="10">
        <v>2.1309999999999998</v>
      </c>
      <c r="G25" s="11">
        <v>3.2330000000000001</v>
      </c>
      <c r="H25" s="11">
        <v>3.2170000000000001</v>
      </c>
      <c r="I25" s="12">
        <v>-3.0000000000000001E-3</v>
      </c>
      <c r="J25" s="12">
        <v>-3.0000000000000001E-3</v>
      </c>
      <c r="K25" s="12">
        <v>-3.0000000000000001E-3</v>
      </c>
      <c r="L25" s="12">
        <v>-3.0000000000000001E-3</v>
      </c>
      <c r="M25" s="12">
        <v>-2E-3</v>
      </c>
      <c r="N25" s="12">
        <v>-3.0000000000000001E-3</v>
      </c>
      <c r="O25" s="13">
        <v>560</v>
      </c>
      <c r="R25" s="15">
        <v>3.08</v>
      </c>
      <c r="S25" s="16">
        <v>2.504</v>
      </c>
      <c r="T25">
        <v>1.8</v>
      </c>
      <c r="U25">
        <f t="shared" si="0"/>
        <v>2.7919999999999998</v>
      </c>
    </row>
    <row r="26" spans="1:26" ht="14">
      <c r="B26" s="7" t="s">
        <v>26</v>
      </c>
      <c r="C26" s="14">
        <v>0.34799999999999998</v>
      </c>
      <c r="D26" s="14">
        <v>0.35899999999999999</v>
      </c>
      <c r="E26" s="15">
        <v>3.08</v>
      </c>
      <c r="F26" s="16">
        <v>2.504</v>
      </c>
      <c r="G26" s="11">
        <v>3.2610000000000001</v>
      </c>
      <c r="H26" s="15">
        <v>3.141</v>
      </c>
      <c r="I26" s="12">
        <v>-3.0000000000000001E-3</v>
      </c>
      <c r="J26" s="12">
        <v>-3.0000000000000001E-3</v>
      </c>
      <c r="K26" s="12">
        <v>-3.0000000000000001E-3</v>
      </c>
      <c r="L26" s="12">
        <v>-2E-3</v>
      </c>
      <c r="M26" s="12">
        <v>-3.0000000000000001E-3</v>
      </c>
      <c r="N26" s="12">
        <v>-3.0000000000000001E-3</v>
      </c>
      <c r="O26" s="13">
        <v>560</v>
      </c>
      <c r="R26" s="17">
        <v>2.6760000000000002</v>
      </c>
      <c r="S26" s="10">
        <v>2.1429999999999998</v>
      </c>
    </row>
    <row r="27" spans="1:26" ht="14">
      <c r="B27" s="7" t="s">
        <v>27</v>
      </c>
      <c r="C27" s="12">
        <v>0.222</v>
      </c>
      <c r="D27" s="14">
        <v>0.25600000000000001</v>
      </c>
      <c r="E27" s="17">
        <v>2.6760000000000002</v>
      </c>
      <c r="F27" s="10">
        <v>2.1429999999999998</v>
      </c>
      <c r="G27" s="11">
        <v>3.3730000000000002</v>
      </c>
      <c r="H27" s="11">
        <v>3.1890000000000001</v>
      </c>
      <c r="I27" s="12">
        <v>-2E-3</v>
      </c>
      <c r="J27" s="12">
        <v>-3.0000000000000001E-3</v>
      </c>
      <c r="K27" s="12">
        <v>-3.0000000000000001E-3</v>
      </c>
      <c r="L27" s="12">
        <v>-3.0000000000000001E-3</v>
      </c>
      <c r="M27" s="12">
        <v>-3.0000000000000001E-3</v>
      </c>
      <c r="N27" s="12">
        <v>-3.0000000000000001E-3</v>
      </c>
      <c r="O27" s="13">
        <v>560</v>
      </c>
      <c r="R27" s="16">
        <v>2.67</v>
      </c>
      <c r="S27" s="10">
        <v>2.16</v>
      </c>
      <c r="T27">
        <v>0.13999999999999999</v>
      </c>
      <c r="U27">
        <f t="shared" si="0"/>
        <v>2.415</v>
      </c>
      <c r="V27">
        <f t="shared" ref="V27:V39" si="1">U27-0.076</f>
        <v>2.339</v>
      </c>
      <c r="W27">
        <v>2.3479999999999999</v>
      </c>
      <c r="X27">
        <v>0.13999999999999999</v>
      </c>
      <c r="Y27">
        <v>2.4239999999999999</v>
      </c>
      <c r="Z27">
        <v>2.3479999999999999</v>
      </c>
    </row>
    <row r="28" spans="1:26" ht="14">
      <c r="B28" s="7" t="s">
        <v>28</v>
      </c>
      <c r="C28" s="12">
        <v>0.17699999999999999</v>
      </c>
      <c r="D28" s="12">
        <v>0.182</v>
      </c>
      <c r="E28" s="16">
        <v>2.67</v>
      </c>
      <c r="F28" s="10">
        <v>2.16</v>
      </c>
      <c r="G28" s="11">
        <v>3.3220000000000001</v>
      </c>
      <c r="H28" s="11">
        <v>3.3820000000000001</v>
      </c>
      <c r="I28" s="12">
        <v>-3.0000000000000001E-3</v>
      </c>
      <c r="J28" s="12">
        <v>-3.0000000000000001E-3</v>
      </c>
      <c r="K28" s="12">
        <v>-2E-3</v>
      </c>
      <c r="L28" s="12">
        <v>-2E-3</v>
      </c>
      <c r="M28" s="12">
        <v>-3.0000000000000001E-3</v>
      </c>
      <c r="N28" s="12">
        <v>-3.0000000000000001E-3</v>
      </c>
      <c r="O28" s="13">
        <v>560</v>
      </c>
      <c r="R28" s="9">
        <v>2.1970000000000001</v>
      </c>
      <c r="S28" s="18">
        <v>1.847</v>
      </c>
      <c r="T28">
        <v>0.12</v>
      </c>
      <c r="U28">
        <f t="shared" si="0"/>
        <v>2.0220000000000002</v>
      </c>
      <c r="V28">
        <f t="shared" si="1"/>
        <v>1.9460000000000002</v>
      </c>
      <c r="W28">
        <v>2.0249999999999999</v>
      </c>
      <c r="X28">
        <v>0.12</v>
      </c>
      <c r="Y28">
        <v>2.101</v>
      </c>
      <c r="Z28">
        <v>2.0249999999999999</v>
      </c>
    </row>
    <row r="29" spans="1:26" ht="14">
      <c r="B29" s="7" t="s">
        <v>29</v>
      </c>
      <c r="C29" s="12">
        <v>0.14199999999999999</v>
      </c>
      <c r="D29" s="12">
        <v>0.14599999999999999</v>
      </c>
      <c r="E29" s="9">
        <v>2.1970000000000001</v>
      </c>
      <c r="F29" s="18">
        <v>1.847</v>
      </c>
      <c r="G29" s="15">
        <v>2.9460000000000002</v>
      </c>
      <c r="H29" s="11">
        <v>3.3140000000000001</v>
      </c>
      <c r="I29" s="12">
        <v>-3.0000000000000001E-3</v>
      </c>
      <c r="J29" s="12">
        <v>-3.0000000000000001E-3</v>
      </c>
      <c r="K29" s="12">
        <v>-2E-3</v>
      </c>
      <c r="L29" s="12">
        <v>-3.0000000000000001E-3</v>
      </c>
      <c r="M29" s="12">
        <v>-3.0000000000000001E-3</v>
      </c>
      <c r="N29" s="12">
        <v>-3.0000000000000001E-3</v>
      </c>
      <c r="O29" s="13">
        <v>560</v>
      </c>
      <c r="R29" s="19">
        <v>1.5640000000000001</v>
      </c>
      <c r="S29" s="18">
        <v>1.716</v>
      </c>
      <c r="T29">
        <v>0.1</v>
      </c>
      <c r="U29">
        <f t="shared" si="0"/>
        <v>1.6400000000000001</v>
      </c>
      <c r="V29">
        <f t="shared" si="1"/>
        <v>1.5640000000000001</v>
      </c>
      <c r="W29">
        <v>1.637</v>
      </c>
      <c r="X29">
        <v>0.1</v>
      </c>
      <c r="Y29">
        <v>1.7130000000000001</v>
      </c>
      <c r="Z29">
        <v>1.637</v>
      </c>
    </row>
    <row r="30" spans="1:26" ht="14">
      <c r="B30" s="7" t="s">
        <v>30</v>
      </c>
      <c r="C30" s="12">
        <v>0.14399999999999999</v>
      </c>
      <c r="D30" s="12">
        <v>9.6000000000000002E-2</v>
      </c>
      <c r="E30" s="19">
        <v>1.5640000000000001</v>
      </c>
      <c r="F30" s="18">
        <v>1.716</v>
      </c>
      <c r="G30" s="17">
        <v>2.798</v>
      </c>
      <c r="H30" s="11">
        <v>3.4020000000000001</v>
      </c>
      <c r="I30" s="12">
        <v>-3.0000000000000001E-3</v>
      </c>
      <c r="J30" s="12">
        <v>-3.0000000000000001E-3</v>
      </c>
      <c r="K30" s="12">
        <v>-3.0000000000000001E-3</v>
      </c>
      <c r="L30" s="12">
        <v>-3.0000000000000001E-3</v>
      </c>
      <c r="M30" s="12">
        <v>-3.0000000000000001E-3</v>
      </c>
      <c r="N30" s="12">
        <v>-3.0000000000000001E-3</v>
      </c>
      <c r="O30" s="13">
        <v>560</v>
      </c>
      <c r="R30" s="20">
        <v>1.3160000000000001</v>
      </c>
      <c r="S30" s="20">
        <v>1.31</v>
      </c>
      <c r="T30">
        <v>8.0000000000000016E-2</v>
      </c>
      <c r="U30">
        <f t="shared" si="0"/>
        <v>1.3130000000000002</v>
      </c>
      <c r="V30">
        <f t="shared" si="1"/>
        <v>1.2370000000000001</v>
      </c>
      <c r="W30">
        <v>1.3499999999999999</v>
      </c>
      <c r="X30">
        <v>8.0000000000000016E-2</v>
      </c>
      <c r="Y30">
        <v>1.4259999999999999</v>
      </c>
      <c r="Z30">
        <v>1.3499999999999999</v>
      </c>
    </row>
    <row r="31" spans="1:26" ht="14">
      <c r="B31" s="7" t="s">
        <v>31</v>
      </c>
      <c r="C31" s="12">
        <v>8.3000000000000004E-2</v>
      </c>
      <c r="D31" s="12">
        <v>8.1000000000000003E-2</v>
      </c>
      <c r="E31" s="20">
        <v>1.3160000000000001</v>
      </c>
      <c r="F31" s="20">
        <v>1.31</v>
      </c>
      <c r="G31" s="9">
        <v>2.403</v>
      </c>
      <c r="H31" s="11">
        <v>3.169</v>
      </c>
      <c r="I31" s="12">
        <v>-3.0000000000000001E-3</v>
      </c>
      <c r="J31" s="12">
        <v>-3.0000000000000001E-3</v>
      </c>
      <c r="K31" s="12">
        <v>-3.0000000000000001E-3</v>
      </c>
      <c r="L31" s="12">
        <v>-3.0000000000000001E-3</v>
      </c>
      <c r="M31" s="12">
        <v>-3.0000000000000001E-3</v>
      </c>
      <c r="N31" s="12">
        <v>-3.0000000000000001E-3</v>
      </c>
      <c r="O31" s="13">
        <v>560</v>
      </c>
      <c r="R31" s="8">
        <v>0.86799999999999999</v>
      </c>
      <c r="S31" s="8">
        <v>0.85899999999999999</v>
      </c>
      <c r="T31">
        <v>0.06</v>
      </c>
      <c r="U31">
        <f t="shared" si="0"/>
        <v>0.86349999999999993</v>
      </c>
      <c r="V31">
        <f t="shared" si="1"/>
        <v>0.78749999999999998</v>
      </c>
      <c r="W31">
        <v>0.88500000000000001</v>
      </c>
      <c r="X31">
        <v>0.06</v>
      </c>
      <c r="Y31">
        <v>0.96099999999999997</v>
      </c>
      <c r="Z31">
        <v>0.88500000000000001</v>
      </c>
    </row>
    <row r="32" spans="1:26" ht="14">
      <c r="B32" s="7" t="s">
        <v>32</v>
      </c>
      <c r="C32" s="12">
        <v>8.2000000000000003E-2</v>
      </c>
      <c r="D32" s="12">
        <v>7.0000000000000007E-2</v>
      </c>
      <c r="E32" s="8">
        <v>0.86799999999999999</v>
      </c>
      <c r="F32" s="8">
        <v>0.85899999999999999</v>
      </c>
      <c r="G32" s="15">
        <v>3.0880000000000001</v>
      </c>
      <c r="H32" s="10">
        <v>2.1219999999999999</v>
      </c>
      <c r="I32" s="12">
        <v>-3.0000000000000001E-3</v>
      </c>
      <c r="J32" s="12">
        <v>-3.0000000000000001E-3</v>
      </c>
      <c r="K32" s="12">
        <v>-3.0000000000000001E-3</v>
      </c>
      <c r="L32" s="12">
        <v>-3.0000000000000001E-3</v>
      </c>
      <c r="M32" s="12">
        <v>-3.0000000000000001E-3</v>
      </c>
      <c r="N32" s="12">
        <v>-3.0000000000000001E-3</v>
      </c>
      <c r="O32" s="13">
        <v>560</v>
      </c>
      <c r="R32" s="8">
        <v>0.77400000000000002</v>
      </c>
      <c r="S32" s="8">
        <v>0.77100000000000002</v>
      </c>
      <c r="T32">
        <v>4.0000000000000008E-2</v>
      </c>
      <c r="U32">
        <f t="shared" si="0"/>
        <v>0.77249999999999996</v>
      </c>
      <c r="V32">
        <f t="shared" si="1"/>
        <v>0.69650000000000001</v>
      </c>
      <c r="W32">
        <v>0.749</v>
      </c>
      <c r="X32">
        <v>4.0000000000000008E-2</v>
      </c>
      <c r="Y32">
        <v>0.82499999999999996</v>
      </c>
      <c r="Z32">
        <v>0.749</v>
      </c>
    </row>
    <row r="33" spans="3:28">
      <c r="R33" s="14">
        <v>0.34799999999999998</v>
      </c>
      <c r="S33" s="14">
        <v>0.35899999999999999</v>
      </c>
      <c r="T33">
        <v>2.0000000000000004E-2</v>
      </c>
      <c r="U33">
        <f t="shared" si="0"/>
        <v>0.35349999999999998</v>
      </c>
      <c r="V33">
        <f t="shared" si="1"/>
        <v>0.27749999999999997</v>
      </c>
      <c r="W33">
        <v>0.315</v>
      </c>
      <c r="X33">
        <v>2.0000000000000004E-2</v>
      </c>
      <c r="Y33">
        <v>0.39100000000000001</v>
      </c>
      <c r="Z33">
        <v>0.315</v>
      </c>
    </row>
    <row r="34" spans="3:28">
      <c r="R34" s="12">
        <v>0.222</v>
      </c>
      <c r="S34" s="14">
        <v>0.25600000000000001</v>
      </c>
      <c r="T34">
        <v>1.0000000000000002E-2</v>
      </c>
      <c r="U34">
        <f t="shared" si="0"/>
        <v>0.23899999999999999</v>
      </c>
      <c r="V34">
        <f t="shared" si="1"/>
        <v>0.16299999999999998</v>
      </c>
      <c r="W34">
        <v>0.18049999999999999</v>
      </c>
      <c r="X34">
        <v>1.0000000000000002E-2</v>
      </c>
      <c r="Y34">
        <v>0.25650000000000001</v>
      </c>
      <c r="Z34">
        <v>0.18049999999999999</v>
      </c>
    </row>
    <row r="35" spans="3:28">
      <c r="R35" s="12">
        <v>0.17699999999999999</v>
      </c>
      <c r="S35" s="12">
        <v>0.182</v>
      </c>
      <c r="T35">
        <v>8.0000000000000002E-3</v>
      </c>
      <c r="U35">
        <f t="shared" si="0"/>
        <v>0.17949999999999999</v>
      </c>
      <c r="V35">
        <f t="shared" si="1"/>
        <v>0.10349999999999999</v>
      </c>
      <c r="W35">
        <v>0.11600000000000001</v>
      </c>
      <c r="X35">
        <v>8.0000000000000002E-3</v>
      </c>
      <c r="Y35">
        <v>0.192</v>
      </c>
      <c r="Z35">
        <v>0.11600000000000001</v>
      </c>
    </row>
    <row r="36" spans="3:28">
      <c r="R36" s="12">
        <v>0.14199999999999999</v>
      </c>
      <c r="S36" s="12">
        <v>0.14599999999999999</v>
      </c>
      <c r="T36">
        <v>4.0000000000000001E-3</v>
      </c>
      <c r="U36">
        <f t="shared" si="0"/>
        <v>0.14399999999999999</v>
      </c>
      <c r="V36">
        <f t="shared" si="1"/>
        <v>6.7999999999999991E-2</v>
      </c>
      <c r="W36">
        <v>7.2499999999999995E-2</v>
      </c>
      <c r="X36">
        <v>4.0000000000000001E-3</v>
      </c>
      <c r="Y36">
        <v>0.14849999999999999</v>
      </c>
      <c r="Z36">
        <v>7.2499999999999995E-2</v>
      </c>
    </row>
    <row r="37" spans="3:28">
      <c r="R37" s="12">
        <v>0.14399999999999999</v>
      </c>
      <c r="S37" s="12">
        <v>9.6000000000000002E-2</v>
      </c>
      <c r="T37">
        <v>2E-3</v>
      </c>
      <c r="U37">
        <f t="shared" si="0"/>
        <v>0.12</v>
      </c>
      <c r="V37">
        <f t="shared" si="1"/>
        <v>4.3999999999999997E-2</v>
      </c>
      <c r="W37">
        <v>4.7E-2</v>
      </c>
      <c r="X37">
        <v>2E-3</v>
      </c>
      <c r="Y37">
        <v>0.123</v>
      </c>
      <c r="Z37">
        <v>4.7E-2</v>
      </c>
    </row>
    <row r="38" spans="3:28">
      <c r="R38" s="12">
        <v>8.3000000000000004E-2</v>
      </c>
      <c r="S38" s="12">
        <v>8.1000000000000003E-2</v>
      </c>
      <c r="T38">
        <v>1E-3</v>
      </c>
      <c r="U38">
        <f t="shared" si="0"/>
        <v>8.2000000000000003E-2</v>
      </c>
      <c r="V38">
        <f t="shared" si="1"/>
        <v>6.0000000000000053E-3</v>
      </c>
      <c r="W38">
        <v>6.5000000000000058E-3</v>
      </c>
      <c r="X38">
        <v>1E-3</v>
      </c>
      <c r="Y38">
        <v>8.2500000000000004E-2</v>
      </c>
      <c r="Z38">
        <v>6.5000000000000058E-3</v>
      </c>
    </row>
    <row r="39" spans="3:28">
      <c r="C39" cm="1">
        <f t="array" ref="C39:J44">TRANSPOSE(C25:H32)</f>
        <v>0.77400000000000002</v>
      </c>
      <c r="D39">
        <v>0.34799999999999998</v>
      </c>
      <c r="E39">
        <v>0.222</v>
      </c>
      <c r="F39">
        <v>0.17699999999999999</v>
      </c>
      <c r="G39">
        <v>0.14199999999999999</v>
      </c>
      <c r="H39">
        <v>0.14399999999999999</v>
      </c>
      <c r="I39">
        <v>8.3000000000000004E-2</v>
      </c>
      <c r="J39">
        <v>8.2000000000000003E-2</v>
      </c>
      <c r="R39" s="12">
        <v>8.2000000000000003E-2</v>
      </c>
      <c r="S39" s="12">
        <v>7.0000000000000007E-2</v>
      </c>
      <c r="T39">
        <v>0</v>
      </c>
      <c r="U39">
        <f t="shared" si="0"/>
        <v>7.6000000000000012E-2</v>
      </c>
      <c r="V39">
        <f t="shared" si="1"/>
        <v>0</v>
      </c>
      <c r="W39">
        <v>0</v>
      </c>
      <c r="X39">
        <v>0</v>
      </c>
      <c r="Y39">
        <v>7.6000000000000012E-2</v>
      </c>
      <c r="Z39">
        <v>0</v>
      </c>
    </row>
    <row r="40" spans="3:28">
      <c r="C40">
        <v>0.77100000000000002</v>
      </c>
      <c r="D40">
        <v>0.35899999999999999</v>
      </c>
      <c r="E40">
        <v>0.25600000000000001</v>
      </c>
      <c r="F40">
        <v>0.182</v>
      </c>
      <c r="G40">
        <v>0.14599999999999999</v>
      </c>
      <c r="H40">
        <v>9.6000000000000002E-2</v>
      </c>
      <c r="I40">
        <v>8.1000000000000003E-2</v>
      </c>
      <c r="J40">
        <v>7.0000000000000007E-2</v>
      </c>
    </row>
    <row r="41" spans="3:28">
      <c r="C41">
        <v>2.4020000000000001</v>
      </c>
      <c r="D41">
        <v>3.08</v>
      </c>
      <c r="E41">
        <v>2.6760000000000002</v>
      </c>
      <c r="F41">
        <v>2.67</v>
      </c>
      <c r="G41">
        <v>2.1970000000000001</v>
      </c>
      <c r="H41">
        <v>1.5640000000000001</v>
      </c>
      <c r="I41">
        <v>1.3160000000000001</v>
      </c>
      <c r="J41">
        <v>0.86799999999999999</v>
      </c>
    </row>
    <row r="42" spans="3:28">
      <c r="C42">
        <v>2.1309999999999998</v>
      </c>
      <c r="D42">
        <v>2.504</v>
      </c>
      <c r="E42">
        <v>2.1429999999999998</v>
      </c>
      <c r="F42">
        <v>2.16</v>
      </c>
      <c r="G42">
        <v>1.847</v>
      </c>
      <c r="H42">
        <v>1.716</v>
      </c>
      <c r="I42">
        <v>1.31</v>
      </c>
      <c r="J42">
        <v>0.85899999999999999</v>
      </c>
    </row>
    <row r="43" spans="3:28">
      <c r="C43">
        <v>3.2330000000000001</v>
      </c>
      <c r="D43">
        <v>3.2610000000000001</v>
      </c>
      <c r="E43">
        <v>3.3730000000000002</v>
      </c>
      <c r="F43">
        <v>3.3220000000000001</v>
      </c>
      <c r="G43">
        <v>2.9460000000000002</v>
      </c>
      <c r="H43">
        <v>2.798</v>
      </c>
      <c r="I43">
        <v>2.403</v>
      </c>
      <c r="J43">
        <v>3.0880000000000001</v>
      </c>
    </row>
    <row r="44" spans="3:28">
      <c r="C44">
        <v>3.2170000000000001</v>
      </c>
      <c r="D44">
        <v>3.141</v>
      </c>
      <c r="E44">
        <v>3.1890000000000001</v>
      </c>
      <c r="F44">
        <v>3.3820000000000001</v>
      </c>
      <c r="G44">
        <v>3.3140000000000001</v>
      </c>
      <c r="H44">
        <v>3.4020000000000001</v>
      </c>
      <c r="I44">
        <v>3.169</v>
      </c>
      <c r="J44">
        <v>2.1219999999999999</v>
      </c>
    </row>
    <row r="45" spans="3:28">
      <c r="L45">
        <v>8</v>
      </c>
      <c r="M45">
        <v>7</v>
      </c>
      <c r="N45">
        <v>6</v>
      </c>
      <c r="O45">
        <v>5</v>
      </c>
      <c r="P45">
        <v>4</v>
      </c>
      <c r="Q45">
        <v>3</v>
      </c>
      <c r="R45">
        <v>2</v>
      </c>
      <c r="S45">
        <v>1</v>
      </c>
    </row>
    <row r="46" spans="3:28">
      <c r="L46">
        <v>8.2000000000000003E-2</v>
      </c>
      <c r="M46">
        <v>8.3000000000000004E-2</v>
      </c>
      <c r="N46">
        <v>0.14399999999999999</v>
      </c>
      <c r="O46">
        <v>0.14199999999999999</v>
      </c>
      <c r="P46">
        <v>0.17699999999999999</v>
      </c>
      <c r="Q46">
        <v>0.222</v>
      </c>
      <c r="R46">
        <v>0.34799999999999998</v>
      </c>
      <c r="S46">
        <v>0.77400000000000002</v>
      </c>
      <c r="U46">
        <v>3.0880000000000001</v>
      </c>
      <c r="V46">
        <v>2.403</v>
      </c>
      <c r="W46">
        <v>2.798</v>
      </c>
      <c r="X46">
        <v>2.9460000000000002</v>
      </c>
      <c r="Y46">
        <v>3.3220000000000001</v>
      </c>
      <c r="Z46">
        <v>3.3730000000000002</v>
      </c>
      <c r="AA46">
        <v>3.2610000000000001</v>
      </c>
      <c r="AB46">
        <v>3.2330000000000001</v>
      </c>
    </row>
    <row r="47" spans="3:28">
      <c r="L47">
        <v>7.0000000000000007E-2</v>
      </c>
      <c r="M47">
        <v>8.1000000000000003E-2</v>
      </c>
      <c r="N47">
        <v>9.6000000000000002E-2</v>
      </c>
      <c r="O47">
        <v>0.14599999999999999</v>
      </c>
      <c r="P47">
        <v>0.182</v>
      </c>
      <c r="Q47">
        <v>0.25600000000000001</v>
      </c>
      <c r="R47">
        <v>0.35899999999999999</v>
      </c>
      <c r="S47">
        <v>0.77100000000000002</v>
      </c>
      <c r="U47">
        <v>2.1219999999999999</v>
      </c>
      <c r="V47">
        <v>3.169</v>
      </c>
      <c r="W47">
        <v>3.4020000000000001</v>
      </c>
      <c r="X47">
        <v>3.3140000000000001</v>
      </c>
      <c r="Y47">
        <v>3.3820000000000001</v>
      </c>
      <c r="Z47">
        <v>3.1890000000000001</v>
      </c>
      <c r="AA47">
        <v>3.141</v>
      </c>
      <c r="AB47">
        <v>3.2170000000000001</v>
      </c>
    </row>
    <row r="48" spans="3:28">
      <c r="L48">
        <v>0.86799999999999999</v>
      </c>
      <c r="M48">
        <v>1.3160000000000001</v>
      </c>
      <c r="N48">
        <v>1.5640000000000001</v>
      </c>
      <c r="O48">
        <v>2.1970000000000001</v>
      </c>
      <c r="P48">
        <v>2.67</v>
      </c>
      <c r="Q48">
        <v>2.6760000000000002</v>
      </c>
      <c r="R48">
        <v>3.08</v>
      </c>
      <c r="S48">
        <v>2.4020000000000001</v>
      </c>
      <c r="U48">
        <f>(U46+U47)/2</f>
        <v>2.605</v>
      </c>
      <c r="V48">
        <f>(V46+V47)/2</f>
        <v>2.786</v>
      </c>
      <c r="W48">
        <f>(W46+W47)/2</f>
        <v>3.1</v>
      </c>
      <c r="X48">
        <f>(X46+X47)/2</f>
        <v>3.13</v>
      </c>
      <c r="Y48">
        <f>(Y46+Y47)/2</f>
        <v>3.3520000000000003</v>
      </c>
      <c r="Z48">
        <f>(Z46+Z47)/2</f>
        <v>3.2810000000000001</v>
      </c>
      <c r="AA48">
        <f>(AA46+AA47)/2</f>
        <v>3.2010000000000001</v>
      </c>
      <c r="AB48">
        <f>(AB46+AB47)/2</f>
        <v>3.2250000000000001</v>
      </c>
    </row>
    <row r="49" spans="12:28">
      <c r="L49">
        <v>0.85899999999999999</v>
      </c>
      <c r="M49">
        <v>1.31</v>
      </c>
      <c r="N49">
        <v>1.716</v>
      </c>
      <c r="O49">
        <v>1.847</v>
      </c>
      <c r="P49">
        <v>2.16</v>
      </c>
      <c r="Q49">
        <v>2.1429999999999998</v>
      </c>
      <c r="R49">
        <v>2.504</v>
      </c>
      <c r="S49">
        <v>2.1309999999999998</v>
      </c>
      <c r="U49">
        <f>ABS(U46-U47)</f>
        <v>0.96600000000000019</v>
      </c>
      <c r="V49">
        <f t="shared" ref="V49:AB49" si="2">ABS(V46-V47)</f>
        <v>0.76600000000000001</v>
      </c>
      <c r="W49">
        <f t="shared" si="2"/>
        <v>0.60400000000000009</v>
      </c>
      <c r="X49">
        <f t="shared" si="2"/>
        <v>0.36799999999999988</v>
      </c>
      <c r="Y49">
        <f t="shared" si="2"/>
        <v>6.0000000000000053E-2</v>
      </c>
      <c r="Z49">
        <f t="shared" si="2"/>
        <v>0.18400000000000016</v>
      </c>
      <c r="AA49">
        <f t="shared" si="2"/>
        <v>0.12000000000000011</v>
      </c>
      <c r="AB49">
        <f t="shared" si="2"/>
        <v>1.6000000000000014E-2</v>
      </c>
    </row>
    <row r="50" spans="12:28">
      <c r="L50">
        <v>3.0880000000000001</v>
      </c>
      <c r="M50">
        <v>2.403</v>
      </c>
      <c r="N50">
        <v>2.798</v>
      </c>
      <c r="O50">
        <v>2.9460000000000002</v>
      </c>
      <c r="P50">
        <v>3.3220000000000001</v>
      </c>
      <c r="Q50">
        <v>3.3730000000000002</v>
      </c>
      <c r="R50">
        <v>3.2610000000000001</v>
      </c>
      <c r="S50">
        <v>3.2330000000000001</v>
      </c>
    </row>
    <row r="51" spans="12:28">
      <c r="L51">
        <v>2.1219999999999999</v>
      </c>
      <c r="M51">
        <v>3.169</v>
      </c>
      <c r="N51">
        <v>3.4020000000000001</v>
      </c>
      <c r="O51">
        <v>3.3140000000000001</v>
      </c>
      <c r="P51">
        <v>3.3820000000000001</v>
      </c>
      <c r="Q51">
        <v>3.1890000000000001</v>
      </c>
      <c r="R51">
        <v>3.141</v>
      </c>
      <c r="S51">
        <v>3.2170000000000001</v>
      </c>
    </row>
  </sheetData>
  <sortState xmlns:xlrd2="http://schemas.microsoft.com/office/spreadsheetml/2017/richdata2" columnSort="1" ref="L45:S51">
    <sortCondition descending="1" ref="L45:S45"/>
  </sortState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Microsoft Office User</cp:lastModifiedBy>
  <dcterms:created xsi:type="dcterms:W3CDTF">2011-01-18T20:51:17Z</dcterms:created>
  <dcterms:modified xsi:type="dcterms:W3CDTF">2024-12-05T17:05:14Z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