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生物化学实验(Biochemistry Lab)/开放实验/开放实验酶标仪数据/磷硫铁法/"/>
    </mc:Choice>
  </mc:AlternateContent>
  <xr:revisionPtr revIDLastSave="0" documentId="13_ncr:1_{A6EF51A0-2D2E-9F48-A443-D16467AE78AA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板 1 - Sheet1" sheetId="1" r:id="rId1"/>
  </sheets>
  <definedNames>
    <definedName name="MethodPointer1">578616160</definedName>
    <definedName name="MethodPointer2">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65" i="1" l="1"/>
  <c r="R65" i="1"/>
  <c r="S65" i="1"/>
  <c r="T65" i="1"/>
  <c r="U65" i="1"/>
  <c r="V65" i="1"/>
  <c r="W65" i="1"/>
  <c r="Q64" i="1"/>
  <c r="R64" i="1"/>
  <c r="S64" i="1"/>
  <c r="T64" i="1"/>
  <c r="U64" i="1"/>
  <c r="V64" i="1"/>
  <c r="W64" i="1"/>
  <c r="P65" i="1"/>
  <c r="P64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40" i="1"/>
  <c r="F40" i="1" a="1"/>
  <c r="F40" i="1" s="1"/>
  <c r="S27" i="1" l="1" a="1"/>
  <c r="S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<sst xmlns="http://schemas.openxmlformats.org/spreadsheetml/2006/main" count="34" uniqueCount="34">
  <si>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</si>
  <si>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</si>
  <si>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</si>
  <si>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C:\Users\biochemistry lab\Desktop\</t>
    </r>
    <r>
      <rPr>
        <sz val="10"/>
        <rFont val="宋体"/>
        <family val="3"/>
        <charset val="134"/>
      </rPr>
      <t>胆固醇磷硫铁法预实验</t>
    </r>
    <r>
      <rPr>
        <sz val="10"/>
        <rFont val="Arial"/>
        <family val="2"/>
      </rPr>
      <t>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</si>
  <si>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</si>
  <si>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</si>
  <si>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</si>
  <si>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</si>
  <si>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</si>
  <si>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</si>
  <si>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</si>
  <si>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</si>
  <si>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</si>
  <si>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</si>
  <si>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</si>
  <si>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</si>
  <si>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</si>
  <si>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</si>
  <si>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</si>
  <si>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</si>
  <si>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</si>
  <si>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</si>
  <si>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</si>
  <si>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</si>
  <si>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</si>
  <si>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</si>
  <si>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</si>
  <si>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</si>
  <si>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</si>
  <si>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</si>
  <si>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</si>
  <si>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</si>
  <si>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</si>
  <si>
    <t>加样表：P66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</si>
</sst>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901827334674646E-5"/>
                  <c:y val="0.15770851996793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'板 1 - Sheet1'!$P$34:$P$37</c:f>
              <c:numCache>
                <c:formatCode>General</c:formatCode>
                <c:ptCount val="4"/>
                <c:pt idx="0">
                  <c:v>0.04</c:v>
                </c:pt>
                <c:pt idx="1">
                  <c:v>0.02</c:v>
                </c:pt>
                <c:pt idx="2">
                  <c:v>0.01</c:v>
                </c:pt>
                <c:pt idx="3">
                  <c:v>1E-3</c:v>
                </c:pt>
              </c:numCache>
            </c:numRef>
          </c:xVal>
          <c:yVal>
            <c:numRef>
              <c:f>'板 1 - Sheet1'!$Q$34:$Q$37</c:f>
              <c:numCache>
                <c:formatCode>General</c:formatCode>
                <c:ptCount val="4"/>
                <c:pt idx="0">
                  <c:v>5.5000000000000007E-2</c:v>
                </c:pt>
                <c:pt idx="1">
                  <c:v>3.4999999999999989E-2</c:v>
                </c:pt>
                <c:pt idx="2">
                  <c:v>2.1000000000000005E-2</c:v>
                </c:pt>
                <c:pt idx="3">
                  <c:v>6.9999999999999923E-3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82-1240-835E-51CA208CA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478512"/>
        <c:axId val="525500656"/>
      </c:scatterChart>
      <c:valAx>
        <c:axId val="52547851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25500656"/>
        <c:crosses val="autoZero"/>
        <c:crossBetween val="midCat"/>
      </c:valAx>
      <c:valAx>
        <c:axId val="5255006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2547851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4</xdr:row>
      <xdr:rowOff>114300</xdr:rowOff>
    </xdr:from>
    <xdr:to>
      <xdr:col>17</xdr:col>
      <xdr:colOff>114300</xdr:colOff>
      <xdr:row>22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5CC05-6A19-394D-9BE0-DDC368192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69"/>
  <sheetViews>
    <sheetView tabSelected="1" topLeftCell="A26" workbookViewId="0">
      <selection activeCell="P62" sqref="P62:T65"/>
    </sheetView>
  </sheetViews>
  <sheetFormatPr baseColWidth="10" defaultColWidth="8.83203125" defaultRowHeight="13"/>
  <cols>
    <col min="1" max="1" width="20.6640625" customWidth="1"/>
    <col min="2" max="2" width="12.6640625" customWidth="1"/>
    <col min="20" max="20" width="17" customWidth="1"/>
  </cols>
  <sheetData>
    <row r="2" spans="1:20" ht="14">
      <c r="A2" s="1" t="s">
        <v>0</v>
      </c>
      <c r="B2" t="s">
        <v>1</v>
      </c>
    </row>
    <row r="4" spans="1:20" ht="14">
      <c r="A4" s="1" t="s">
        <v>2</v>
      </c>
      <c r="B4" t="s">
        <v>3</v>
      </c>
    </row>
    <row r="5" spans="1:20" ht="14">
      <c r="A5" s="1" t="s">
        <v>4</v>
      </c>
    </row>
    <row r="6" spans="1:20" ht="14">
      <c r="A6" s="1" t="s">
        <v>5</v>
      </c>
      <c r="B6" s="1" t="s">
        <v>6</v>
      </c>
    </row>
    <row r="7" spans="1:20" ht="14">
      <c r="A7" s="1" t="s">
        <v>7</v>
      </c>
      <c r="B7" s="2">
        <v>45611</v>
      </c>
    </row>
    <row r="8" spans="1:20" ht="14">
      <c r="A8" s="1" t="s">
        <v>8</v>
      </c>
      <c r="B8" s="3">
        <v>0.73854166666666676</v>
      </c>
    </row>
    <row r="9" spans="1:20" ht="14">
      <c r="A9" s="1" t="s">
        <v>9</v>
      </c>
      <c r="B9" t="s">
        <v>10</v>
      </c>
      <c r="T9" t="s">
        <v>33</v>
      </c>
    </row>
    <row r="10" spans="1:20" ht="14">
      <c r="A10" s="1" t="s">
        <v>11</v>
      </c>
      <c r="B10">
        <v>19012425</v>
      </c>
    </row>
    <row r="11" spans="1:20" ht="14">
      <c r="A11" s="1" t="s">
        <v>12</v>
      </c>
      <c r="B11" s="1" t="s">
        <v>13</v>
      </c>
    </row>
    <row r="13" spans="1:20" ht="14">
      <c r="A13" s="4" t="s">
        <v>14</v>
      </c>
      <c r="B13" s="5"/>
    </row>
    <row r="14" spans="1:20" ht="14">
      <c r="A14" s="1" t="s">
        <v>15</v>
      </c>
      <c r="B14" t="s">
        <v>16</v>
      </c>
    </row>
    <row r="15" spans="1:20" ht="14">
      <c r="A15" s="1" t="s">
        <v>17</v>
      </c>
    </row>
    <row r="16" spans="1:20" ht="14">
      <c r="A16" s="1" t="s">
        <v>18</v>
      </c>
      <c r="B16" s="1" t="s">
        <v>19</v>
      </c>
    </row>
    <row r="17" spans="1:33" ht="14">
      <c r="B17" s="1" t="s">
        <v>20</v>
      </c>
    </row>
    <row r="18" spans="1:33" ht="14">
      <c r="B18" s="1" t="s">
        <v>21</v>
      </c>
    </row>
    <row r="19" spans="1:33" ht="14">
      <c r="B19" s="1" t="s">
        <v>22</v>
      </c>
    </row>
    <row r="21" spans="1:33" ht="14">
      <c r="A21" s="4" t="s">
        <v>23</v>
      </c>
      <c r="B21" s="5"/>
    </row>
    <row r="22" spans="1:33" ht="14">
      <c r="A22" s="1" t="s">
        <v>24</v>
      </c>
      <c r="B22">
        <v>23.9</v>
      </c>
    </row>
    <row r="24" spans="1:33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33" ht="14">
      <c r="B25" s="7" t="s">
        <v>25</v>
      </c>
      <c r="C25" s="8">
        <v>0.10199999999999999</v>
      </c>
      <c r="D25" s="8">
        <v>9.9000000000000005E-2</v>
      </c>
      <c r="E25" s="9">
        <v>0.05</v>
      </c>
      <c r="F25" s="9">
        <v>5.0999999999999997E-2</v>
      </c>
      <c r="G25" s="9">
        <v>4.4999999999999998E-2</v>
      </c>
      <c r="H25" s="9">
        <v>4.5999999999999999E-2</v>
      </c>
      <c r="I25" s="9">
        <v>5.2999999999999999E-2</v>
      </c>
      <c r="J25" s="9">
        <v>0.05</v>
      </c>
      <c r="K25" s="9">
        <v>4.5999999999999999E-2</v>
      </c>
      <c r="L25" s="9">
        <v>4.5999999999999999E-2</v>
      </c>
      <c r="M25" s="9">
        <v>5.0999999999999997E-2</v>
      </c>
      <c r="N25" s="10">
        <v>6.6000000000000003E-2</v>
      </c>
      <c r="O25" s="11">
        <v>560</v>
      </c>
      <c r="Q25">
        <f t="shared" ref="Q25:Q39" si="0">R25 - 0.049</f>
        <v>1.5000000000000013E-3</v>
      </c>
      <c r="R25">
        <v>5.0500000000000003E-2</v>
      </c>
    </row>
    <row r="26" spans="1:33" ht="14">
      <c r="B26" s="7" t="s">
        <v>26</v>
      </c>
      <c r="C26" s="12">
        <v>8.5000000000000006E-2</v>
      </c>
      <c r="D26" s="13">
        <v>0.123</v>
      </c>
      <c r="E26" s="14">
        <v>0.25600000000000001</v>
      </c>
      <c r="F26" s="15">
        <v>0.246</v>
      </c>
      <c r="G26" s="9">
        <v>4.4999999999999998E-2</v>
      </c>
      <c r="H26" s="9">
        <v>4.5999999999999999E-2</v>
      </c>
      <c r="I26" s="9">
        <v>4.7E-2</v>
      </c>
      <c r="J26" s="9">
        <v>5.0999999999999997E-2</v>
      </c>
      <c r="K26" s="9">
        <v>4.8000000000000001E-2</v>
      </c>
      <c r="L26" s="9">
        <v>4.5999999999999999E-2</v>
      </c>
      <c r="M26" s="9">
        <v>4.8000000000000001E-2</v>
      </c>
      <c r="N26" s="10">
        <v>7.5999999999999998E-2</v>
      </c>
      <c r="O26" s="21">
        <v>10</v>
      </c>
      <c r="P26">
        <v>0.2</v>
      </c>
      <c r="Q26">
        <f t="shared" si="0"/>
        <v>0.20200000000000001</v>
      </c>
      <c r="R26">
        <v>0.251</v>
      </c>
    </row>
    <row r="27" spans="1:33" ht="14">
      <c r="B27" s="7" t="s">
        <v>27</v>
      </c>
      <c r="C27" s="12">
        <v>8.6999999999999994E-2</v>
      </c>
      <c r="D27" s="12">
        <v>8.1000000000000003E-2</v>
      </c>
      <c r="E27" s="13">
        <v>0.115</v>
      </c>
      <c r="F27" s="14">
        <v>0.26600000000000001</v>
      </c>
      <c r="G27" s="9">
        <v>0.05</v>
      </c>
      <c r="H27" s="9">
        <v>4.9000000000000002E-2</v>
      </c>
      <c r="I27" s="9">
        <v>4.5999999999999999E-2</v>
      </c>
      <c r="J27" s="9">
        <v>5.2999999999999999E-2</v>
      </c>
      <c r="K27" s="9">
        <v>4.8000000000000001E-2</v>
      </c>
      <c r="L27" s="9">
        <v>4.5999999999999999E-2</v>
      </c>
      <c r="M27" s="9">
        <v>4.5999999999999999E-2</v>
      </c>
      <c r="N27" s="9">
        <v>5.5E-2</v>
      </c>
      <c r="O27" s="21">
        <v>9</v>
      </c>
      <c r="P27">
        <v>0.18</v>
      </c>
      <c r="Q27">
        <f t="shared" si="0"/>
        <v>0.14150000000000001</v>
      </c>
      <c r="R27">
        <v>0.1905</v>
      </c>
      <c r="S27" cm="1">
        <f t="array" ref="S27:AG28">TRANSPOSE(P26:Q40)</f>
        <v>0.2</v>
      </c>
      <c r="T27">
        <v>0.18</v>
      </c>
      <c r="U27">
        <v>0.16</v>
      </c>
      <c r="V27">
        <v>0.14000000000000001</v>
      </c>
      <c r="W27">
        <v>0.12</v>
      </c>
      <c r="X27">
        <v>0.1</v>
      </c>
      <c r="Y27">
        <v>0.08</v>
      </c>
      <c r="Z27">
        <v>0.06</v>
      </c>
      <c r="AA27">
        <v>0.04</v>
      </c>
      <c r="AB27">
        <v>0.02</v>
      </c>
      <c r="AC27">
        <v>0.01</v>
      </c>
      <c r="AD27">
        <v>1E-3</v>
      </c>
      <c r="AE27">
        <v>1E-4</v>
      </c>
      <c r="AF27">
        <v>1.0000000000000001E-5</v>
      </c>
      <c r="AG27">
        <v>0</v>
      </c>
    </row>
    <row r="28" spans="1:33" ht="14">
      <c r="B28" s="7" t="s">
        <v>28</v>
      </c>
      <c r="C28" s="10">
        <v>7.3999999999999996E-2</v>
      </c>
      <c r="D28" s="10">
        <v>6.6000000000000003E-2</v>
      </c>
      <c r="E28" s="16">
        <v>0.15</v>
      </c>
      <c r="F28" s="17">
        <v>0.21299999999999999</v>
      </c>
      <c r="G28" s="10">
        <v>6.3E-2</v>
      </c>
      <c r="H28" s="9">
        <v>5.0999999999999997E-2</v>
      </c>
      <c r="I28" s="9">
        <v>5.0999999999999997E-2</v>
      </c>
      <c r="J28" s="10">
        <v>6.6000000000000003E-2</v>
      </c>
      <c r="K28" s="9">
        <v>5.7000000000000002E-2</v>
      </c>
      <c r="L28" s="9">
        <v>5.0999999999999997E-2</v>
      </c>
      <c r="M28" s="9">
        <v>5.1999999999999998E-2</v>
      </c>
      <c r="N28" s="9">
        <v>5.5E-2</v>
      </c>
      <c r="O28" s="21">
        <v>8</v>
      </c>
      <c r="P28">
        <v>0.16</v>
      </c>
      <c r="Q28">
        <f t="shared" si="0"/>
        <v>0.13250000000000001</v>
      </c>
      <c r="R28">
        <v>0.18149999999999999</v>
      </c>
      <c r="S28">
        <v>0.20200000000000001</v>
      </c>
      <c r="T28">
        <v>0.14150000000000001</v>
      </c>
      <c r="U28">
        <v>0.13250000000000001</v>
      </c>
      <c r="V28">
        <v>0.13950000000000001</v>
      </c>
      <c r="W28">
        <v>0.14800000000000002</v>
      </c>
      <c r="X28">
        <v>8.5500000000000007E-2</v>
      </c>
      <c r="Y28">
        <v>8.4500000000000006E-2</v>
      </c>
      <c r="Z28">
        <v>5.1500000000000004E-2</v>
      </c>
      <c r="AA28">
        <v>5.5000000000000007E-2</v>
      </c>
      <c r="AB28">
        <v>3.4999999999999989E-2</v>
      </c>
      <c r="AC28">
        <v>2.1000000000000005E-2</v>
      </c>
      <c r="AD28">
        <v>6.9999999999999923E-3</v>
      </c>
      <c r="AE28">
        <v>3.5000000000000031E-3</v>
      </c>
      <c r="AF28">
        <v>1.9999999999999948E-3</v>
      </c>
      <c r="AG28">
        <v>0</v>
      </c>
    </row>
    <row r="29" spans="1:33" ht="14">
      <c r="B29" s="7" t="s">
        <v>29</v>
      </c>
      <c r="C29" s="9">
        <v>5.8999999999999997E-2</v>
      </c>
      <c r="D29" s="9">
        <v>5.2999999999999999E-2</v>
      </c>
      <c r="E29" s="18">
        <v>0.16500000000000001</v>
      </c>
      <c r="F29" s="17">
        <v>0.21199999999999999</v>
      </c>
      <c r="G29" s="10">
        <v>6.2E-2</v>
      </c>
      <c r="H29" s="9">
        <v>5.1999999999999998E-2</v>
      </c>
      <c r="I29" s="9">
        <v>0.05</v>
      </c>
      <c r="J29" s="9">
        <v>5.3999999999999999E-2</v>
      </c>
      <c r="K29" s="9">
        <v>5.3999999999999999E-2</v>
      </c>
      <c r="L29" s="9">
        <v>5.2999999999999999E-2</v>
      </c>
      <c r="M29" s="9">
        <v>0.05</v>
      </c>
      <c r="N29" s="9">
        <v>5.6000000000000001E-2</v>
      </c>
      <c r="O29" s="21">
        <v>7</v>
      </c>
      <c r="P29">
        <v>0.14000000000000001</v>
      </c>
      <c r="Q29">
        <f t="shared" si="0"/>
        <v>0.13950000000000001</v>
      </c>
      <c r="R29">
        <v>0.1885</v>
      </c>
    </row>
    <row r="30" spans="1:33" ht="14">
      <c r="B30" s="7" t="s">
        <v>30</v>
      </c>
      <c r="C30" s="9">
        <v>4.9000000000000002E-2</v>
      </c>
      <c r="D30" s="9">
        <v>5.6000000000000001E-2</v>
      </c>
      <c r="E30" s="19">
        <v>0.223</v>
      </c>
      <c r="F30" s="18">
        <v>0.17100000000000001</v>
      </c>
      <c r="G30" s="9">
        <v>5.2999999999999999E-2</v>
      </c>
      <c r="H30" s="9">
        <v>4.9000000000000002E-2</v>
      </c>
      <c r="I30" s="9">
        <v>5.7000000000000002E-2</v>
      </c>
      <c r="J30" s="9">
        <v>5.2999999999999999E-2</v>
      </c>
      <c r="K30" s="9">
        <v>5.3999999999999999E-2</v>
      </c>
      <c r="L30" s="9">
        <v>5.2999999999999999E-2</v>
      </c>
      <c r="M30" s="9">
        <v>5.0999999999999997E-2</v>
      </c>
      <c r="N30" s="9">
        <v>5.5E-2</v>
      </c>
      <c r="O30" s="21">
        <v>6</v>
      </c>
      <c r="P30">
        <v>0.12</v>
      </c>
      <c r="Q30">
        <f t="shared" si="0"/>
        <v>0.14800000000000002</v>
      </c>
      <c r="R30">
        <v>0.19700000000000001</v>
      </c>
    </row>
    <row r="31" spans="1:33" ht="14">
      <c r="B31" s="7" t="s">
        <v>31</v>
      </c>
      <c r="C31" s="9">
        <v>5.0999999999999997E-2</v>
      </c>
      <c r="D31" s="9">
        <v>5.0999999999999997E-2</v>
      </c>
      <c r="E31" s="16">
        <v>0.15</v>
      </c>
      <c r="F31" s="13">
        <v>0.11899999999999999</v>
      </c>
      <c r="G31" s="10">
        <v>6.4000000000000001E-2</v>
      </c>
      <c r="H31" s="9">
        <v>0.05</v>
      </c>
      <c r="I31" s="9">
        <v>5.0999999999999997E-2</v>
      </c>
      <c r="J31" s="9">
        <v>5.7000000000000002E-2</v>
      </c>
      <c r="K31" s="9">
        <v>5.3999999999999999E-2</v>
      </c>
      <c r="L31" s="9">
        <v>5.1999999999999998E-2</v>
      </c>
      <c r="M31" s="9">
        <v>5.0999999999999997E-2</v>
      </c>
      <c r="N31" s="9">
        <v>5.1999999999999998E-2</v>
      </c>
      <c r="O31" s="21">
        <v>5</v>
      </c>
      <c r="P31">
        <v>0.1</v>
      </c>
      <c r="Q31">
        <f t="shared" si="0"/>
        <v>8.5500000000000007E-2</v>
      </c>
      <c r="R31">
        <v>0.13450000000000001</v>
      </c>
    </row>
    <row r="32" spans="1:33" ht="14">
      <c r="B32" s="7" t="s">
        <v>32</v>
      </c>
      <c r="C32" s="9">
        <v>4.8000000000000001E-2</v>
      </c>
      <c r="D32" s="9">
        <v>0.05</v>
      </c>
      <c r="E32" s="20">
        <v>0.13300000000000001</v>
      </c>
      <c r="F32" s="20">
        <v>0.13400000000000001</v>
      </c>
      <c r="G32" s="9">
        <v>5.3999999999999999E-2</v>
      </c>
      <c r="H32" s="9">
        <v>0.05</v>
      </c>
      <c r="I32" s="9">
        <v>5.1999999999999998E-2</v>
      </c>
      <c r="J32" s="9">
        <v>5.6000000000000001E-2</v>
      </c>
      <c r="K32" s="9">
        <v>5.3999999999999999E-2</v>
      </c>
      <c r="L32" s="9">
        <v>4.9000000000000002E-2</v>
      </c>
      <c r="M32" s="9">
        <v>5.0999999999999997E-2</v>
      </c>
      <c r="N32" s="9">
        <v>5.5E-2</v>
      </c>
      <c r="O32" s="21">
        <v>4</v>
      </c>
      <c r="P32">
        <v>0.08</v>
      </c>
      <c r="Q32">
        <f t="shared" si="0"/>
        <v>8.4500000000000006E-2</v>
      </c>
      <c r="R32">
        <v>0.13350000000000001</v>
      </c>
    </row>
    <row r="33" spans="6:18">
      <c r="O33">
        <v>3</v>
      </c>
      <c r="P33">
        <v>0.06</v>
      </c>
      <c r="Q33">
        <f t="shared" si="0"/>
        <v>5.1500000000000004E-2</v>
      </c>
      <c r="R33">
        <v>0.10050000000000001</v>
      </c>
    </row>
    <row r="34" spans="6:18">
      <c r="O34">
        <v>2</v>
      </c>
      <c r="P34">
        <v>0.04</v>
      </c>
      <c r="Q34">
        <f t="shared" si="0"/>
        <v>5.5000000000000007E-2</v>
      </c>
      <c r="R34">
        <v>0.10400000000000001</v>
      </c>
    </row>
    <row r="35" spans="6:18">
      <c r="O35">
        <v>1</v>
      </c>
      <c r="P35">
        <v>0.02</v>
      </c>
      <c r="Q35">
        <f t="shared" si="0"/>
        <v>3.4999999999999989E-2</v>
      </c>
      <c r="R35">
        <v>8.3999999999999991E-2</v>
      </c>
    </row>
    <row r="36" spans="6:18">
      <c r="O36">
        <v>0.5</v>
      </c>
      <c r="P36">
        <v>0.01</v>
      </c>
      <c r="Q36">
        <f t="shared" si="0"/>
        <v>2.1000000000000005E-2</v>
      </c>
      <c r="R36">
        <v>7.0000000000000007E-2</v>
      </c>
    </row>
    <row r="37" spans="6:18">
      <c r="O37">
        <v>0.05</v>
      </c>
      <c r="P37">
        <v>1E-3</v>
      </c>
      <c r="Q37">
        <f t="shared" si="0"/>
        <v>6.9999999999999923E-3</v>
      </c>
      <c r="R37">
        <v>5.5999999999999994E-2</v>
      </c>
    </row>
    <row r="38" spans="6:18">
      <c r="O38">
        <v>5.0000000000000001E-3</v>
      </c>
      <c r="P38">
        <v>1E-4</v>
      </c>
      <c r="Q38">
        <f t="shared" si="0"/>
        <v>3.5000000000000031E-3</v>
      </c>
      <c r="R38">
        <v>5.2500000000000005E-2</v>
      </c>
    </row>
    <row r="39" spans="6:18">
      <c r="F39">
        <v>1</v>
      </c>
      <c r="G39">
        <v>2</v>
      </c>
      <c r="H39">
        <v>3</v>
      </c>
      <c r="I39">
        <v>4</v>
      </c>
      <c r="J39">
        <v>5</v>
      </c>
      <c r="K39">
        <v>6</v>
      </c>
      <c r="L39">
        <v>7</v>
      </c>
      <c r="M39">
        <v>8</v>
      </c>
      <c r="O39">
        <v>5.0000000000000001E-4</v>
      </c>
      <c r="P39">
        <v>1.0000000000000001E-5</v>
      </c>
      <c r="Q39">
        <f t="shared" si="0"/>
        <v>1.9999999999999948E-3</v>
      </c>
      <c r="R39">
        <v>5.0999999999999997E-2</v>
      </c>
    </row>
    <row r="40" spans="6:18">
      <c r="F40" cm="1">
        <f t="array" ref="F40:M51">TRANSPOSE(C25:N32)</f>
        <v>0.10199999999999999</v>
      </c>
      <c r="G40">
        <v>8.5000000000000006E-2</v>
      </c>
      <c r="H40">
        <v>8.6999999999999994E-2</v>
      </c>
      <c r="I40">
        <v>7.3999999999999996E-2</v>
      </c>
      <c r="J40">
        <v>5.8999999999999997E-2</v>
      </c>
      <c r="K40">
        <v>4.9000000000000002E-2</v>
      </c>
      <c r="L40">
        <v>5.0999999999999997E-2</v>
      </c>
      <c r="M40">
        <v>4.8000000000000001E-2</v>
      </c>
      <c r="O40">
        <v>0</v>
      </c>
      <c r="P40">
        <v>0</v>
      </c>
      <c r="Q40">
        <f>R40 - 0.049</f>
        <v>0</v>
      </c>
      <c r="R40">
        <v>4.9000000000000002E-2</v>
      </c>
    </row>
    <row r="41" spans="6:18">
      <c r="F41">
        <v>9.9000000000000005E-2</v>
      </c>
      <c r="G41">
        <v>0.123</v>
      </c>
      <c r="H41">
        <v>8.1000000000000003E-2</v>
      </c>
      <c r="I41">
        <v>6.6000000000000003E-2</v>
      </c>
      <c r="J41">
        <v>5.2999999999999999E-2</v>
      </c>
      <c r="K41">
        <v>5.6000000000000001E-2</v>
      </c>
      <c r="L41">
        <v>5.0999999999999997E-2</v>
      </c>
      <c r="M41">
        <v>0.05</v>
      </c>
    </row>
    <row r="42" spans="6:18">
      <c r="F42">
        <v>0.05</v>
      </c>
      <c r="G42">
        <v>0.25600000000000001</v>
      </c>
      <c r="H42">
        <v>0.115</v>
      </c>
      <c r="I42">
        <v>0.15</v>
      </c>
      <c r="J42">
        <v>0.16500000000000001</v>
      </c>
      <c r="K42">
        <v>0.223</v>
      </c>
      <c r="L42">
        <v>0.15</v>
      </c>
      <c r="M42">
        <v>0.13300000000000001</v>
      </c>
    </row>
    <row r="43" spans="6:18">
      <c r="F43">
        <v>5.0999999999999997E-2</v>
      </c>
      <c r="G43">
        <v>0.246</v>
      </c>
      <c r="H43">
        <v>0.26600000000000001</v>
      </c>
      <c r="I43">
        <v>0.21299999999999999</v>
      </c>
      <c r="J43">
        <v>0.21199999999999999</v>
      </c>
      <c r="K43">
        <v>0.17100000000000001</v>
      </c>
      <c r="L43">
        <v>0.11899999999999999</v>
      </c>
      <c r="M43">
        <v>0.13400000000000001</v>
      </c>
    </row>
    <row r="44" spans="6:18">
      <c r="F44">
        <v>4.4999999999999998E-2</v>
      </c>
      <c r="G44">
        <v>4.4999999999999998E-2</v>
      </c>
      <c r="H44">
        <v>0.05</v>
      </c>
      <c r="I44">
        <v>6.3E-2</v>
      </c>
      <c r="J44">
        <v>6.2E-2</v>
      </c>
      <c r="K44">
        <v>5.2999999999999999E-2</v>
      </c>
      <c r="L44">
        <v>6.4000000000000001E-2</v>
      </c>
      <c r="M44">
        <v>5.3999999999999999E-2</v>
      </c>
      <c r="P44">
        <v>0.2</v>
      </c>
    </row>
    <row r="45" spans="6:18">
      <c r="F45">
        <v>4.5999999999999999E-2</v>
      </c>
      <c r="G45">
        <v>4.5999999999999999E-2</v>
      </c>
      <c r="H45">
        <v>4.9000000000000002E-2</v>
      </c>
      <c r="I45">
        <v>5.0999999999999997E-2</v>
      </c>
      <c r="J45">
        <v>5.1999999999999998E-2</v>
      </c>
      <c r="K45">
        <v>4.9000000000000002E-2</v>
      </c>
      <c r="L45">
        <v>0.05</v>
      </c>
      <c r="M45">
        <v>0.05</v>
      </c>
      <c r="P45">
        <v>0.18</v>
      </c>
    </row>
    <row r="46" spans="6:18">
      <c r="F46">
        <v>5.2999999999999999E-2</v>
      </c>
      <c r="G46">
        <v>4.7E-2</v>
      </c>
      <c r="H46">
        <v>4.5999999999999999E-2</v>
      </c>
      <c r="I46">
        <v>5.0999999999999997E-2</v>
      </c>
      <c r="J46">
        <v>0.05</v>
      </c>
      <c r="K46">
        <v>5.7000000000000002E-2</v>
      </c>
      <c r="L46">
        <v>5.0999999999999997E-2</v>
      </c>
      <c r="M46">
        <v>5.1999999999999998E-2</v>
      </c>
      <c r="P46">
        <v>0.16</v>
      </c>
    </row>
    <row r="47" spans="6:18">
      <c r="F47">
        <v>0.05</v>
      </c>
      <c r="G47">
        <v>5.0999999999999997E-2</v>
      </c>
      <c r="H47">
        <v>5.2999999999999999E-2</v>
      </c>
      <c r="I47">
        <v>6.6000000000000003E-2</v>
      </c>
      <c r="J47">
        <v>5.3999999999999999E-2</v>
      </c>
      <c r="K47">
        <v>5.2999999999999999E-2</v>
      </c>
      <c r="L47">
        <v>5.7000000000000002E-2</v>
      </c>
      <c r="M47">
        <v>5.6000000000000001E-2</v>
      </c>
      <c r="P47">
        <v>0.14000000000000001</v>
      </c>
    </row>
    <row r="48" spans="6:18">
      <c r="F48">
        <v>4.5999999999999999E-2</v>
      </c>
      <c r="G48">
        <v>4.8000000000000001E-2</v>
      </c>
      <c r="H48">
        <v>4.8000000000000001E-2</v>
      </c>
      <c r="I48">
        <v>5.7000000000000002E-2</v>
      </c>
      <c r="J48">
        <v>5.3999999999999999E-2</v>
      </c>
      <c r="K48">
        <v>5.3999999999999999E-2</v>
      </c>
      <c r="L48">
        <v>5.3999999999999999E-2</v>
      </c>
      <c r="M48">
        <v>5.3999999999999999E-2</v>
      </c>
      <c r="P48">
        <v>0.12</v>
      </c>
    </row>
    <row r="49" spans="6:23">
      <c r="F49">
        <v>4.5999999999999999E-2</v>
      </c>
      <c r="G49">
        <v>4.5999999999999999E-2</v>
      </c>
      <c r="H49">
        <v>4.5999999999999999E-2</v>
      </c>
      <c r="I49">
        <v>5.0999999999999997E-2</v>
      </c>
      <c r="J49">
        <v>5.2999999999999999E-2</v>
      </c>
      <c r="K49">
        <v>5.2999999999999999E-2</v>
      </c>
      <c r="L49">
        <v>5.1999999999999998E-2</v>
      </c>
      <c r="M49">
        <v>4.9000000000000002E-2</v>
      </c>
      <c r="P49">
        <v>0.1</v>
      </c>
    </row>
    <row r="50" spans="6:23">
      <c r="F50">
        <v>5.0999999999999997E-2</v>
      </c>
      <c r="G50">
        <v>4.8000000000000001E-2</v>
      </c>
      <c r="H50">
        <v>4.5999999999999999E-2</v>
      </c>
      <c r="I50">
        <v>5.1999999999999998E-2</v>
      </c>
      <c r="J50">
        <v>0.05</v>
      </c>
      <c r="K50">
        <v>5.0999999999999997E-2</v>
      </c>
      <c r="L50">
        <v>5.0999999999999997E-2</v>
      </c>
      <c r="M50">
        <v>5.0999999999999997E-2</v>
      </c>
      <c r="P50">
        <v>0.08</v>
      </c>
    </row>
    <row r="51" spans="6:23">
      <c r="F51">
        <v>6.6000000000000003E-2</v>
      </c>
      <c r="G51">
        <v>7.5999999999999998E-2</v>
      </c>
      <c r="H51">
        <v>5.5E-2</v>
      </c>
      <c r="I51">
        <v>5.5E-2</v>
      </c>
      <c r="J51">
        <v>5.6000000000000001E-2</v>
      </c>
      <c r="K51">
        <v>5.5E-2</v>
      </c>
      <c r="L51">
        <v>5.1999999999999998E-2</v>
      </c>
      <c r="M51">
        <v>5.5E-2</v>
      </c>
      <c r="P51">
        <v>0.06</v>
      </c>
    </row>
    <row r="52" spans="6:23">
      <c r="P52">
        <v>0.04</v>
      </c>
    </row>
    <row r="53" spans="6:23">
      <c r="P53">
        <v>0.02</v>
      </c>
    </row>
    <row r="54" spans="6:23">
      <c r="P54">
        <v>0.01</v>
      </c>
    </row>
    <row r="55" spans="6:23">
      <c r="P55">
        <v>1E-3</v>
      </c>
    </row>
    <row r="56" spans="6:23">
      <c r="P56">
        <v>1E-4</v>
      </c>
    </row>
    <row r="57" spans="6:23">
      <c r="F57">
        <v>8</v>
      </c>
      <c r="G57">
        <v>7</v>
      </c>
      <c r="H57">
        <v>6</v>
      </c>
      <c r="I57">
        <v>5</v>
      </c>
      <c r="J57">
        <v>4</v>
      </c>
      <c r="K57">
        <v>3</v>
      </c>
      <c r="L57">
        <v>2</v>
      </c>
      <c r="M57">
        <v>1</v>
      </c>
      <c r="P57">
        <v>1.0000000000000001E-5</v>
      </c>
    </row>
    <row r="58" spans="6:23">
      <c r="P58">
        <v>0</v>
      </c>
    </row>
    <row r="62" spans="6:23">
      <c r="F62">
        <v>5.3999999999999999E-2</v>
      </c>
      <c r="G62">
        <v>6.4000000000000001E-2</v>
      </c>
      <c r="H62">
        <v>5.2999999999999999E-2</v>
      </c>
      <c r="I62">
        <v>6.2E-2</v>
      </c>
      <c r="J62">
        <v>6.3E-2</v>
      </c>
      <c r="K62">
        <v>0.05</v>
      </c>
      <c r="L62">
        <v>4.4999999999999998E-2</v>
      </c>
      <c r="M62">
        <v>4.4999999999999998E-2</v>
      </c>
      <c r="P62">
        <v>5.0999999999999997E-2</v>
      </c>
      <c r="Q62">
        <v>5.0999999999999997E-2</v>
      </c>
      <c r="R62">
        <v>5.0999999999999997E-2</v>
      </c>
      <c r="S62">
        <v>0.05</v>
      </c>
      <c r="T62">
        <v>5.1999999999999998E-2</v>
      </c>
      <c r="U62">
        <v>4.5999999999999999E-2</v>
      </c>
      <c r="V62">
        <v>4.8000000000000001E-2</v>
      </c>
      <c r="W62">
        <v>5.0999999999999997E-2</v>
      </c>
    </row>
    <row r="63" spans="6:23">
      <c r="F63">
        <v>0.05</v>
      </c>
      <c r="G63">
        <v>0.05</v>
      </c>
      <c r="H63">
        <v>4.9000000000000002E-2</v>
      </c>
      <c r="I63">
        <v>5.1999999999999998E-2</v>
      </c>
      <c r="J63">
        <v>5.0999999999999997E-2</v>
      </c>
      <c r="K63">
        <v>4.9000000000000002E-2</v>
      </c>
      <c r="L63">
        <v>4.5999999999999999E-2</v>
      </c>
      <c r="M63">
        <v>4.5999999999999999E-2</v>
      </c>
      <c r="P63">
        <v>5.5E-2</v>
      </c>
      <c r="Q63">
        <v>5.1999999999999998E-2</v>
      </c>
      <c r="R63">
        <v>5.5E-2</v>
      </c>
      <c r="S63">
        <v>5.6000000000000001E-2</v>
      </c>
      <c r="T63">
        <v>5.5E-2</v>
      </c>
      <c r="U63">
        <v>5.5E-2</v>
      </c>
      <c r="V63">
        <v>7.5999999999999998E-2</v>
      </c>
      <c r="W63">
        <v>6.6000000000000003E-2</v>
      </c>
    </row>
    <row r="64" spans="6:23">
      <c r="F64">
        <v>5.1999999999999998E-2</v>
      </c>
      <c r="G64">
        <v>5.0999999999999997E-2</v>
      </c>
      <c r="H64">
        <v>5.7000000000000002E-2</v>
      </c>
      <c r="I64">
        <v>0.05</v>
      </c>
      <c r="J64">
        <v>5.0999999999999997E-2</v>
      </c>
      <c r="K64">
        <v>4.5999999999999999E-2</v>
      </c>
      <c r="L64">
        <v>4.7E-2</v>
      </c>
      <c r="M64">
        <v>5.2999999999999999E-2</v>
      </c>
      <c r="P64">
        <f>(P62+P63)/2</f>
        <v>5.2999999999999999E-2</v>
      </c>
      <c r="Q64">
        <f t="shared" ref="Q64:W64" si="1">(Q62+Q63)/2</f>
        <v>5.1499999999999997E-2</v>
      </c>
      <c r="R64">
        <f t="shared" si="1"/>
        <v>5.2999999999999999E-2</v>
      </c>
      <c r="S64">
        <f t="shared" si="1"/>
        <v>5.3000000000000005E-2</v>
      </c>
      <c r="T64">
        <f t="shared" si="1"/>
        <v>5.3499999999999999E-2</v>
      </c>
      <c r="U64">
        <f t="shared" si="1"/>
        <v>5.0500000000000003E-2</v>
      </c>
      <c r="V64">
        <f t="shared" si="1"/>
        <v>6.2E-2</v>
      </c>
      <c r="W64">
        <f t="shared" si="1"/>
        <v>5.8499999999999996E-2</v>
      </c>
    </row>
    <row r="65" spans="6:23">
      <c r="F65">
        <v>5.6000000000000001E-2</v>
      </c>
      <c r="G65">
        <v>5.7000000000000002E-2</v>
      </c>
      <c r="H65">
        <v>5.2999999999999999E-2</v>
      </c>
      <c r="I65">
        <v>5.3999999999999999E-2</v>
      </c>
      <c r="J65">
        <v>6.6000000000000003E-2</v>
      </c>
      <c r="K65">
        <v>5.2999999999999999E-2</v>
      </c>
      <c r="L65">
        <v>5.0999999999999997E-2</v>
      </c>
      <c r="M65">
        <v>0.05</v>
      </c>
      <c r="P65">
        <f>ABS(P63-P62)</f>
        <v>4.0000000000000036E-3</v>
      </c>
      <c r="Q65">
        <f t="shared" ref="Q65:W65" si="2">ABS(Q63-Q62)</f>
        <v>1.0000000000000009E-3</v>
      </c>
      <c r="R65">
        <f t="shared" si="2"/>
        <v>4.0000000000000036E-3</v>
      </c>
      <c r="S65">
        <f t="shared" si="2"/>
        <v>5.9999999999999984E-3</v>
      </c>
      <c r="T65">
        <f t="shared" si="2"/>
        <v>3.0000000000000027E-3</v>
      </c>
      <c r="U65">
        <f t="shared" si="2"/>
        <v>9.0000000000000011E-3</v>
      </c>
      <c r="V65">
        <f t="shared" si="2"/>
        <v>2.7999999999999997E-2</v>
      </c>
      <c r="W65">
        <f t="shared" si="2"/>
        <v>1.5000000000000006E-2</v>
      </c>
    </row>
    <row r="66" spans="6:23">
      <c r="F66">
        <v>5.3999999999999999E-2</v>
      </c>
      <c r="G66">
        <v>5.3999999999999999E-2</v>
      </c>
      <c r="H66">
        <v>5.3999999999999999E-2</v>
      </c>
      <c r="I66">
        <v>5.3999999999999999E-2</v>
      </c>
      <c r="J66">
        <v>5.7000000000000002E-2</v>
      </c>
      <c r="K66">
        <v>4.8000000000000001E-2</v>
      </c>
      <c r="L66">
        <v>4.8000000000000001E-2</v>
      </c>
      <c r="M66">
        <v>4.5999999999999999E-2</v>
      </c>
    </row>
    <row r="67" spans="6:23">
      <c r="F67">
        <v>4.9000000000000002E-2</v>
      </c>
      <c r="G67">
        <v>5.1999999999999998E-2</v>
      </c>
      <c r="H67">
        <v>5.2999999999999999E-2</v>
      </c>
      <c r="I67">
        <v>5.2999999999999999E-2</v>
      </c>
      <c r="J67">
        <v>5.0999999999999997E-2</v>
      </c>
      <c r="K67">
        <v>4.5999999999999999E-2</v>
      </c>
      <c r="L67">
        <v>4.5999999999999999E-2</v>
      </c>
      <c r="M67">
        <v>4.5999999999999999E-2</v>
      </c>
    </row>
    <row r="68" spans="6:23">
      <c r="F68">
        <v>5.0999999999999997E-2</v>
      </c>
      <c r="G68">
        <v>5.0999999999999997E-2</v>
      </c>
      <c r="H68">
        <v>5.0999999999999997E-2</v>
      </c>
      <c r="I68">
        <v>0.05</v>
      </c>
      <c r="J68">
        <v>5.1999999999999998E-2</v>
      </c>
      <c r="K68">
        <v>4.5999999999999999E-2</v>
      </c>
      <c r="L68">
        <v>4.8000000000000001E-2</v>
      </c>
      <c r="M68">
        <v>5.0999999999999997E-2</v>
      </c>
    </row>
    <row r="69" spans="6:23">
      <c r="F69">
        <v>5.5E-2</v>
      </c>
      <c r="G69">
        <v>5.1999999999999998E-2</v>
      </c>
      <c r="H69">
        <v>5.5E-2</v>
      </c>
      <c r="I69">
        <v>5.6000000000000001E-2</v>
      </c>
      <c r="J69">
        <v>5.5E-2</v>
      </c>
      <c r="K69">
        <v>5.5E-2</v>
      </c>
      <c r="L69">
        <v>7.5999999999999998E-2</v>
      </c>
      <c r="M69">
        <v>6.6000000000000003E-2</v>
      </c>
    </row>
  </sheetData>
  <sortState xmlns:xlrd2="http://schemas.microsoft.com/office/spreadsheetml/2017/richdata2" columnSort="1" ref="F57:M69">
    <sortCondition descending="1" ref="F57:M57"/>
  </sortState>
  <phoneticPr fontId="0" type="noConversion"/>
  <conditionalFormatting sqref="F40:M51">
    <cfRule type="colorScale" priority="1">
      <colorScale>
        <cfvo type="num" val="0"/>
        <cfvo type="max"/>
        <color theme="0"/>
        <color theme="3"/>
      </colorScale>
    </cfRule>
  </conditionalFormatting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Microsoft Office User</cp:lastModifiedBy>
  <dcterms:created xsi:type="dcterms:W3CDTF">2011-01-18T20:51:17Z</dcterms:created>
  <dcterms:modified xsi:type="dcterms:W3CDTF">2024-12-05T16:06:36Z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