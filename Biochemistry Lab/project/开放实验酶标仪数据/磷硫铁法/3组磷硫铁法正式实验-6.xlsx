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6DA6F530-FEF9-4240-ABEA-D34F1EA18DB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1547792400</definedName>
    <definedName name="MethodPointer2">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5" i="1" l="1"/>
  <c r="T22" i="1"/>
  <c r="T32" i="1"/>
  <c r="T18" i="1"/>
  <c r="T19" i="1"/>
  <c r="T20" i="1"/>
  <c r="T21" i="1"/>
  <c r="T23" i="1"/>
  <c r="T24" i="1"/>
  <c r="T26" i="1"/>
  <c r="T27" i="1"/>
  <c r="T28" i="1"/>
  <c r="T29" i="1"/>
  <c r="T30" i="1"/>
  <c r="T31" i="1"/>
  <c r="T17" i="1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<sst xmlns="http://schemas.openxmlformats.org/spreadsheetml/2006/main" count="33" uniqueCount="33">
  <si>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</si>
  <si>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</si>
  <si>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</si>
  <si>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-6.xpt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</si>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</sst>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'板 1 - Sheet1'!$S$19:$S$32</c:f>
              <c:numCache>
                <c:formatCode>General</c:formatCode>
                <c:ptCount val="14"/>
                <c:pt idx="0">
                  <c:v>1.6</c:v>
                </c:pt>
                <c:pt idx="1">
                  <c:v>1.4</c:v>
                </c:pt>
                <c:pt idx="2">
                  <c:v>1.2</c:v>
                </c:pt>
                <c:pt idx="3">
                  <c:v>1</c:v>
                </c:pt>
                <c:pt idx="4">
                  <c:v>0.8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0.1</c:v>
                </c:pt>
                <c:pt idx="9">
                  <c:v>0.08</c:v>
                </c:pt>
                <c:pt idx="10">
                  <c:v>0.04</c:v>
                </c:pt>
                <c:pt idx="11">
                  <c:v>0.02</c:v>
                </c:pt>
                <c:pt idx="12">
                  <c:v>0.01</c:v>
                </c:pt>
                <c:pt idx="13">
                  <c:v>0</c:v>
                </c:pt>
              </c:numCache>
            </c:numRef>
          </c:xVal>
          <c:yVal>
            <c:numRef>
              <c:f>'板 1 - Sheet1'!$T$19:$T$32</c:f>
              <c:numCache>
                <c:formatCode>General</c:formatCode>
                <c:ptCount val="14"/>
                <c:pt idx="0">
                  <c:v>1.7264999999999999</c:v>
                </c:pt>
                <c:pt idx="1">
                  <c:v>1.4035</c:v>
                </c:pt>
                <c:pt idx="2">
                  <c:v>1.3279999999999998</c:v>
                </c:pt>
                <c:pt idx="3">
                  <c:v>0.97199999999999998</c:v>
                </c:pt>
                <c:pt idx="4">
                  <c:v>0.92700000000000005</c:v>
                </c:pt>
                <c:pt idx="5">
                  <c:v>0.63149999999999995</c:v>
                </c:pt>
                <c:pt idx="6">
                  <c:v>0.60050000000000003</c:v>
                </c:pt>
                <c:pt idx="7">
                  <c:v>0.32799999999999996</c:v>
                </c:pt>
                <c:pt idx="8">
                  <c:v>0.13800000000000001</c:v>
                </c:pt>
                <c:pt idx="9">
                  <c:v>0.16749999999999998</c:v>
                </c:pt>
                <c:pt idx="10">
                  <c:v>9.0999999999999998E-2</c:v>
                </c:pt>
                <c:pt idx="11">
                  <c:v>7.0500000000000007E-2</c:v>
                </c:pt>
                <c:pt idx="12">
                  <c:v>6.0999999999999999E-2</c:v>
                </c:pt>
                <c:pt idx="13">
                  <c:v>5.8499999999999996E-2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28-0A43-9FDE-22B25057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20352"/>
        <c:axId val="162059008"/>
      </c:scatterChart>
      <c:valAx>
        <c:axId val="1620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059008"/>
        <c:crosses val="autoZero"/>
        <c:crossBetween val="midCat"/>
      </c:valAx>
      <c:valAx>
        <c:axId val="16205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020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5</xdr:row>
      <xdr:rowOff>142875</xdr:rowOff>
    </xdr:from>
    <xdr:to>
      <xdr:col>14</xdr:col>
      <xdr:colOff>190500</xdr:colOff>
      <xdr:row>22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2"/>
  <sheetViews>
    <sheetView tabSelected="1" workbookViewId="0">
      <selection activeCell="S25" sqref="S25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45625</v>
      </c>
    </row>
    <row r="8" spans="1:2" ht="14">
      <c r="A8" s="1" t="s">
        <v>8</v>
      </c>
      <c r="B8" s="3">
        <v>0.72870370370370363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 s="1" t="s">
        <v>19</v>
      </c>
    </row>
    <row r="17" spans="1:20" ht="14">
      <c r="B17" s="1" t="s">
        <v>20</v>
      </c>
      <c r="Q17" s="9">
        <v>1.4339999999999999</v>
      </c>
      <c r="R17" s="9">
        <v>1.4379999999999999</v>
      </c>
      <c r="S17">
        <v>2</v>
      </c>
      <c r="T17">
        <f>(Q17+R17)/2</f>
        <v>1.4359999999999999</v>
      </c>
    </row>
    <row r="18" spans="1:20" ht="14">
      <c r="B18" s="1" t="s">
        <v>21</v>
      </c>
      <c r="Q18" s="14">
        <v>1.214</v>
      </c>
      <c r="R18" s="15">
        <v>1.5840000000000001</v>
      </c>
      <c r="S18">
        <v>1.8</v>
      </c>
      <c r="T18">
        <f t="shared" ref="T18:T32" si="0">(Q18+R18)/2</f>
        <v>1.399</v>
      </c>
    </row>
    <row r="19" spans="1:20" ht="14">
      <c r="B19" s="1" t="s">
        <v>22</v>
      </c>
      <c r="Q19" s="16">
        <v>1.7829999999999999</v>
      </c>
      <c r="R19" s="16">
        <v>1.67</v>
      </c>
      <c r="S19">
        <v>1.6</v>
      </c>
      <c r="T19">
        <f t="shared" si="0"/>
        <v>1.7264999999999999</v>
      </c>
    </row>
    <row r="20" spans="1:20">
      <c r="Q20" s="9">
        <v>1.468</v>
      </c>
      <c r="R20" s="17">
        <v>1.339</v>
      </c>
      <c r="S20">
        <v>1.4</v>
      </c>
      <c r="T20">
        <f t="shared" si="0"/>
        <v>1.4035</v>
      </c>
    </row>
    <row r="21" spans="1:20" ht="14">
      <c r="A21" s="4" t="s">
        <v>23</v>
      </c>
      <c r="B21" s="5"/>
      <c r="Q21" s="14">
        <v>1.2629999999999999</v>
      </c>
      <c r="R21" s="17">
        <v>1.393</v>
      </c>
      <c r="S21">
        <v>1.2</v>
      </c>
      <c r="T21">
        <f t="shared" si="0"/>
        <v>1.3279999999999998</v>
      </c>
    </row>
    <row r="22" spans="1:20" ht="14">
      <c r="A22" s="1" t="s">
        <v>24</v>
      </c>
      <c r="B22">
        <v>25.1</v>
      </c>
      <c r="Q22" s="19">
        <v>0.83399999999999996</v>
      </c>
      <c r="R22" s="20">
        <v>1.1100000000000001</v>
      </c>
      <c r="S22">
        <v>1</v>
      </c>
      <c r="T22">
        <f t="shared" si="0"/>
        <v>0.97199999999999998</v>
      </c>
    </row>
    <row r="23" spans="1:20">
      <c r="Q23" s="18">
        <v>0.96</v>
      </c>
      <c r="R23" s="18">
        <v>0.89400000000000002</v>
      </c>
      <c r="S23">
        <v>0.8</v>
      </c>
      <c r="T23">
        <f t="shared" si="0"/>
        <v>0.92700000000000005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19">
        <v>0.76700000000000002</v>
      </c>
      <c r="R24" s="21">
        <v>0.496</v>
      </c>
      <c r="S24">
        <v>0.6</v>
      </c>
      <c r="T24">
        <f t="shared" si="0"/>
        <v>0.63149999999999995</v>
      </c>
    </row>
    <row r="25" spans="1:20" ht="14">
      <c r="B25" s="7" t="s">
        <v>25</v>
      </c>
      <c r="C25" s="8">
        <v>0.622</v>
      </c>
      <c r="D25" s="8">
        <v>0.57899999999999996</v>
      </c>
      <c r="E25" s="9">
        <v>1.4339999999999999</v>
      </c>
      <c r="F25" s="9">
        <v>1.4379999999999999</v>
      </c>
      <c r="G25" s="10">
        <v>-3.0000000000000001E-3</v>
      </c>
      <c r="H25" s="11">
        <v>0.13900000000000001</v>
      </c>
      <c r="I25" s="11">
        <v>0.13200000000000001</v>
      </c>
      <c r="J25" s="10">
        <v>5.5E-2</v>
      </c>
      <c r="K25" s="10">
        <v>5.8000000000000003E-2</v>
      </c>
      <c r="L25" s="10">
        <v>7.1999999999999995E-2</v>
      </c>
      <c r="M25" s="10">
        <v>6.2E-2</v>
      </c>
      <c r="N25" s="10">
        <v>-2E-3</v>
      </c>
      <c r="O25" s="12">
        <v>560</v>
      </c>
      <c r="Q25" s="8">
        <v>0.622</v>
      </c>
      <c r="R25" s="8">
        <v>0.57899999999999996</v>
      </c>
      <c r="S25">
        <v>0.4</v>
      </c>
      <c r="T25">
        <f t="shared" si="0"/>
        <v>0.60050000000000003</v>
      </c>
    </row>
    <row r="26" spans="1:20" ht="14">
      <c r="B26" s="7" t="s">
        <v>26</v>
      </c>
      <c r="C26" s="13">
        <v>0.29399999999999998</v>
      </c>
      <c r="D26" s="13">
        <v>0.36199999999999999</v>
      </c>
      <c r="E26" s="14">
        <v>1.214</v>
      </c>
      <c r="F26" s="15">
        <v>1.5840000000000001</v>
      </c>
      <c r="G26" s="10">
        <v>-2E-3</v>
      </c>
      <c r="H26" s="11">
        <v>0.20599999999999999</v>
      </c>
      <c r="I26" s="11">
        <v>0.17799999999999999</v>
      </c>
      <c r="J26" s="10">
        <v>5.6000000000000001E-2</v>
      </c>
      <c r="K26" s="10">
        <v>5.3999999999999999E-2</v>
      </c>
      <c r="L26" s="11">
        <v>0.154</v>
      </c>
      <c r="M26" s="10">
        <v>6.6000000000000003E-2</v>
      </c>
      <c r="N26" s="10">
        <v>-2E-3</v>
      </c>
      <c r="O26" s="12">
        <v>560</v>
      </c>
      <c r="Q26" s="13">
        <v>0.29399999999999998</v>
      </c>
      <c r="R26" s="13">
        <v>0.36199999999999999</v>
      </c>
      <c r="S26">
        <v>0.2</v>
      </c>
      <c r="T26">
        <f t="shared" si="0"/>
        <v>0.32799999999999996</v>
      </c>
    </row>
    <row r="27" spans="1:20" ht="14">
      <c r="B27" s="7" t="s">
        <v>27</v>
      </c>
      <c r="C27" s="11">
        <v>0.17499999999999999</v>
      </c>
      <c r="D27" s="10">
        <v>0.10100000000000001</v>
      </c>
      <c r="E27" s="16">
        <v>1.7829999999999999</v>
      </c>
      <c r="F27" s="16">
        <v>1.67</v>
      </c>
      <c r="G27" s="10">
        <v>-3.0000000000000001E-3</v>
      </c>
      <c r="H27" s="13">
        <v>0.34799999999999998</v>
      </c>
      <c r="I27" s="13">
        <v>0.34799999999999998</v>
      </c>
      <c r="J27" s="13">
        <v>0.37</v>
      </c>
      <c r="K27" s="13">
        <v>0.35399999999999998</v>
      </c>
      <c r="L27" s="11">
        <v>0.23</v>
      </c>
      <c r="M27" s="13">
        <v>0.255</v>
      </c>
      <c r="N27" s="10">
        <v>-2E-3</v>
      </c>
      <c r="O27" s="12">
        <v>560</v>
      </c>
      <c r="Q27" s="11">
        <v>0.17499999999999999</v>
      </c>
      <c r="R27" s="10">
        <v>0.10100000000000001</v>
      </c>
      <c r="S27">
        <v>0.1</v>
      </c>
      <c r="T27">
        <f t="shared" si="0"/>
        <v>0.13800000000000001</v>
      </c>
    </row>
    <row r="28" spans="1:20" ht="14">
      <c r="B28" s="7" t="s">
        <v>28</v>
      </c>
      <c r="C28" s="11">
        <v>0.186</v>
      </c>
      <c r="D28" s="11">
        <v>0.14899999999999999</v>
      </c>
      <c r="E28" s="9">
        <v>1.468</v>
      </c>
      <c r="F28" s="17">
        <v>1.339</v>
      </c>
      <c r="G28" s="10">
        <v>-2E-3</v>
      </c>
      <c r="H28" s="14">
        <v>1.266</v>
      </c>
      <c r="I28" s="17">
        <v>1.391</v>
      </c>
      <c r="J28" s="15">
        <v>1.6140000000000001</v>
      </c>
      <c r="K28" s="15">
        <v>1.55</v>
      </c>
      <c r="L28" s="18">
        <v>1.004</v>
      </c>
      <c r="M28" s="18">
        <v>0.91400000000000003</v>
      </c>
      <c r="N28" s="10">
        <v>-2E-3</v>
      </c>
      <c r="O28" s="12">
        <v>560</v>
      </c>
      <c r="Q28" s="11">
        <v>0.186</v>
      </c>
      <c r="R28" s="11">
        <v>0.14899999999999999</v>
      </c>
      <c r="S28">
        <v>0.08</v>
      </c>
      <c r="T28">
        <f t="shared" si="0"/>
        <v>0.16749999999999998</v>
      </c>
    </row>
    <row r="29" spans="1:20" ht="14">
      <c r="B29" s="7" t="s">
        <v>29</v>
      </c>
      <c r="C29" s="10">
        <v>0.09</v>
      </c>
      <c r="D29" s="10">
        <v>9.1999999999999998E-2</v>
      </c>
      <c r="E29" s="14">
        <v>1.2629999999999999</v>
      </c>
      <c r="F29" s="17">
        <v>1.393</v>
      </c>
      <c r="G29" s="10">
        <v>-2E-3</v>
      </c>
      <c r="H29" s="10">
        <v>0.113</v>
      </c>
      <c r="I29" s="10">
        <v>0.104</v>
      </c>
      <c r="J29" s="11">
        <v>0.13600000000000001</v>
      </c>
      <c r="K29" s="10">
        <v>0.122</v>
      </c>
      <c r="L29" s="10">
        <v>0.10299999999999999</v>
      </c>
      <c r="M29" s="11">
        <v>0.125</v>
      </c>
      <c r="N29" s="10">
        <v>-3.0000000000000001E-3</v>
      </c>
      <c r="O29" s="12">
        <v>560</v>
      </c>
      <c r="Q29" s="10">
        <v>0.09</v>
      </c>
      <c r="R29" s="10">
        <v>9.1999999999999998E-2</v>
      </c>
      <c r="S29" s="22">
        <v>0.04</v>
      </c>
      <c r="T29">
        <f t="shared" si="0"/>
        <v>9.0999999999999998E-2</v>
      </c>
    </row>
    <row r="30" spans="1:20" ht="14">
      <c r="B30" s="7" t="s">
        <v>30</v>
      </c>
      <c r="C30" s="10">
        <v>6.6000000000000003E-2</v>
      </c>
      <c r="D30" s="10">
        <v>7.4999999999999997E-2</v>
      </c>
      <c r="E30" s="19">
        <v>0.83399999999999996</v>
      </c>
      <c r="F30" s="20">
        <v>1.1100000000000001</v>
      </c>
      <c r="G30" s="10">
        <v>-2E-3</v>
      </c>
      <c r="H30" s="11">
        <v>0.18099999999999999</v>
      </c>
      <c r="I30" s="11">
        <v>0.14499999999999999</v>
      </c>
      <c r="J30" s="11">
        <v>0.185</v>
      </c>
      <c r="K30" s="11">
        <v>0.187</v>
      </c>
      <c r="L30" s="11">
        <v>0.192</v>
      </c>
      <c r="M30" s="11">
        <v>0.19400000000000001</v>
      </c>
      <c r="N30" s="10">
        <v>-2E-3</v>
      </c>
      <c r="O30" s="12">
        <v>560</v>
      </c>
      <c r="Q30" s="10">
        <v>6.6000000000000003E-2</v>
      </c>
      <c r="R30" s="10">
        <v>7.4999999999999997E-2</v>
      </c>
      <c r="S30" s="22">
        <v>0.02</v>
      </c>
      <c r="T30">
        <f t="shared" si="0"/>
        <v>7.0500000000000007E-2</v>
      </c>
    </row>
    <row r="31" spans="1:20" ht="14">
      <c r="B31" s="7" t="s">
        <v>31</v>
      </c>
      <c r="C31" s="10">
        <v>0.06</v>
      </c>
      <c r="D31" s="10">
        <v>6.2E-2</v>
      </c>
      <c r="E31" s="18">
        <v>0.96</v>
      </c>
      <c r="F31" s="18">
        <v>0.89400000000000002</v>
      </c>
      <c r="G31" s="10">
        <v>-2E-3</v>
      </c>
      <c r="H31" s="13">
        <v>0.315</v>
      </c>
      <c r="I31" s="13">
        <v>0.27700000000000002</v>
      </c>
      <c r="J31" s="13">
        <v>0.3</v>
      </c>
      <c r="K31" s="13">
        <v>0.33200000000000002</v>
      </c>
      <c r="L31" s="13">
        <v>0.32</v>
      </c>
      <c r="M31" s="13">
        <v>0.28899999999999998</v>
      </c>
      <c r="N31" s="10">
        <v>-3.0000000000000001E-3</v>
      </c>
      <c r="O31" s="12">
        <v>560</v>
      </c>
      <c r="Q31" s="10">
        <v>0.06</v>
      </c>
      <c r="R31" s="10">
        <v>6.2E-2</v>
      </c>
      <c r="S31" s="22">
        <v>0.01</v>
      </c>
      <c r="T31">
        <f t="shared" si="0"/>
        <v>6.0999999999999999E-2</v>
      </c>
    </row>
    <row r="32" spans="1:20" ht="14">
      <c r="B32" s="7" t="s">
        <v>32</v>
      </c>
      <c r="C32" s="10">
        <v>5.8999999999999997E-2</v>
      </c>
      <c r="D32" s="10">
        <v>5.8000000000000003E-2</v>
      </c>
      <c r="E32" s="19">
        <v>0.76700000000000002</v>
      </c>
      <c r="F32" s="21">
        <v>0.496</v>
      </c>
      <c r="G32" s="10">
        <v>-3.0000000000000001E-3</v>
      </c>
      <c r="H32" s="20">
        <v>1.1439999999999999</v>
      </c>
      <c r="I32" s="14">
        <v>1.1679999999999999</v>
      </c>
      <c r="J32" s="14">
        <v>1.232</v>
      </c>
      <c r="K32" s="14">
        <v>1.2090000000000001</v>
      </c>
      <c r="L32" s="17">
        <v>1.2829999999999999</v>
      </c>
      <c r="M32" s="14">
        <v>1.232</v>
      </c>
      <c r="N32" s="10">
        <v>-3.0000000000000001E-3</v>
      </c>
      <c r="O32" s="12">
        <v>560</v>
      </c>
      <c r="Q32" s="10">
        <v>5.8999999999999997E-2</v>
      </c>
      <c r="R32" s="10">
        <v>5.8000000000000003E-2</v>
      </c>
      <c r="S32" s="22">
        <v>0</v>
      </c>
      <c r="T32">
        <f t="shared" si="0"/>
        <v>5.8499999999999996E-2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2024-12-04T08:08:31Z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