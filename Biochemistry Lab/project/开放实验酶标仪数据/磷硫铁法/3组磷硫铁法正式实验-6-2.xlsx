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开放实验酶标仪数据/磷硫铁法/"/>
    </mc:Choice>
  </mc:AlternateContent>
  <xr:revisionPtr revIDLastSave="0" documentId="13_ncr:1_{8FD6F1A8-54FB-6E46-9052-3C2EC4BADDF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板 1 - Sheet1" sheetId="1" r:id="rId1"/>
  </sheets>
  <definedNames>
    <definedName name="MethodPointer1">1618882064</definedName>
    <definedName name="MethodPointer2">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4" i="1" l="1"/>
  <c r="T17" i="1"/>
  <c r="T18" i="1"/>
  <c r="T19" i="1"/>
  <c r="T20" i="1"/>
  <c r="T21" i="1"/>
  <c r="T22" i="1"/>
  <c r="T23" i="1"/>
  <c r="T25" i="1"/>
  <c r="T26" i="1"/>
  <c r="T27" i="1"/>
  <c r="T28" i="1"/>
  <c r="T29" i="1"/>
  <c r="T30" i="1"/>
  <c r="T31" i="1"/>
  <c r="T16" i="1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<sst xmlns="http://schemas.openxmlformats.org/spreadsheetml/2006/main" count="33" uniqueCount="33">
  <si>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</si>
  <si>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</si>
  <si>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</si>
  <si>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-6-2.xpt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</si>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</sst>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'板 1 - Sheet1'!$S$18:$S$31</c:f>
              <c:numCache>
                <c:formatCode>General</c:formatCode>
                <c:ptCount val="14"/>
                <c:pt idx="0">
                  <c:v>1.6</c:v>
                </c:pt>
                <c:pt idx="1">
                  <c:v>1.4</c:v>
                </c:pt>
                <c:pt idx="2">
                  <c:v>1.2</c:v>
                </c:pt>
                <c:pt idx="3">
                  <c:v>1</c:v>
                </c:pt>
                <c:pt idx="4">
                  <c:v>0.8</c:v>
                </c:pt>
                <c:pt idx="5">
                  <c:v>0.6</c:v>
                </c:pt>
                <c:pt idx="6">
                  <c:v>0.4</c:v>
                </c:pt>
                <c:pt idx="7">
                  <c:v>0.2</c:v>
                </c:pt>
                <c:pt idx="8">
                  <c:v>0.1</c:v>
                </c:pt>
                <c:pt idx="9">
                  <c:v>0.08</c:v>
                </c:pt>
                <c:pt idx="10">
                  <c:v>0.04</c:v>
                </c:pt>
                <c:pt idx="11">
                  <c:v>0.02</c:v>
                </c:pt>
                <c:pt idx="12">
                  <c:v>0.01</c:v>
                </c:pt>
                <c:pt idx="13">
                  <c:v>0</c:v>
                </c:pt>
              </c:numCache>
            </c:numRef>
          </c:xVal>
          <c:yVal>
            <c:numRef>
              <c:f>'板 1 - Sheet1'!$T$18:$T$31</c:f>
              <c:numCache>
                <c:formatCode>General</c:formatCode>
                <c:ptCount val="14"/>
                <c:pt idx="0">
                  <c:v>1.9885000000000002</c:v>
                </c:pt>
                <c:pt idx="1">
                  <c:v>1.6789999999999998</c:v>
                </c:pt>
                <c:pt idx="2">
                  <c:v>1.58</c:v>
                </c:pt>
                <c:pt idx="3">
                  <c:v>1.202</c:v>
                </c:pt>
                <c:pt idx="4">
                  <c:v>1.1335</c:v>
                </c:pt>
                <c:pt idx="5">
                  <c:v>0.78950000000000009</c:v>
                </c:pt>
                <c:pt idx="6">
                  <c:v>0.72199999999999998</c:v>
                </c:pt>
                <c:pt idx="7">
                  <c:v>0.38149999999999995</c:v>
                </c:pt>
                <c:pt idx="8">
                  <c:v>0.16349999999999998</c:v>
                </c:pt>
                <c:pt idx="9">
                  <c:v>0.17949999999999999</c:v>
                </c:pt>
                <c:pt idx="10">
                  <c:v>0.1</c:v>
                </c:pt>
                <c:pt idx="11">
                  <c:v>7.4999999999999997E-2</c:v>
                </c:pt>
                <c:pt idx="12">
                  <c:v>6.3500000000000001E-2</c:v>
                </c:pt>
                <c:pt idx="13">
                  <c:v>5.8499999999999996E-2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AF-F342-8A11-F21CE89D5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1328"/>
        <c:axId val="12129792"/>
      </c:scatterChart>
      <c:valAx>
        <c:axId val="1213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29792"/>
        <c:crosses val="autoZero"/>
        <c:crossBetween val="midCat"/>
      </c:valAx>
      <c:valAx>
        <c:axId val="1212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313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4</xdr:row>
      <xdr:rowOff>19050</xdr:rowOff>
    </xdr:from>
    <xdr:to>
      <xdr:col>15</xdr:col>
      <xdr:colOff>581025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2"/>
  <sheetViews>
    <sheetView tabSelected="1" workbookViewId="0">
      <selection activeCell="S9" sqref="S9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20" ht="14">
      <c r="A2" s="1" t="s">
        <v>0</v>
      </c>
      <c r="B2" t="s">
        <v>1</v>
      </c>
    </row>
    <row r="4" spans="1:20" ht="14">
      <c r="A4" s="1" t="s">
        <v>2</v>
      </c>
      <c r="B4" t="s">
        <v>3</v>
      </c>
    </row>
    <row r="5" spans="1:20" ht="14">
      <c r="A5" s="1" t="s">
        <v>4</v>
      </c>
    </row>
    <row r="6" spans="1:20" ht="14">
      <c r="A6" s="1" t="s">
        <v>5</v>
      </c>
      <c r="B6" s="1" t="s">
        <v>6</v>
      </c>
    </row>
    <row r="7" spans="1:20" ht="14">
      <c r="A7" s="1" t="s">
        <v>7</v>
      </c>
      <c r="B7" s="2">
        <v>45625</v>
      </c>
    </row>
    <row r="8" spans="1:20" ht="14">
      <c r="A8" s="1" t="s">
        <v>8</v>
      </c>
      <c r="B8" s="3">
        <v>0.73959490740740741</v>
      </c>
    </row>
    <row r="9" spans="1:20" ht="14">
      <c r="A9" s="1" t="s">
        <v>9</v>
      </c>
      <c r="B9" t="s">
        <v>10</v>
      </c>
    </row>
    <row r="10" spans="1:20" ht="14">
      <c r="A10" s="1" t="s">
        <v>11</v>
      </c>
      <c r="B10">
        <v>19012425</v>
      </c>
    </row>
    <row r="11" spans="1:20" ht="14">
      <c r="A11" s="1" t="s">
        <v>12</v>
      </c>
      <c r="B11" s="1" t="s">
        <v>13</v>
      </c>
    </row>
    <row r="13" spans="1:20" ht="14">
      <c r="A13" s="4" t="s">
        <v>14</v>
      </c>
      <c r="B13" s="5"/>
    </row>
    <row r="14" spans="1:20" ht="14">
      <c r="A14" s="1" t="s">
        <v>15</v>
      </c>
      <c r="B14" t="s">
        <v>16</v>
      </c>
    </row>
    <row r="15" spans="1:20" ht="14">
      <c r="A15" s="1" t="s">
        <v>17</v>
      </c>
    </row>
    <row r="16" spans="1:20" ht="14">
      <c r="A16" s="1" t="s">
        <v>18</v>
      </c>
      <c r="B16" s="1" t="s">
        <v>19</v>
      </c>
      <c r="Q16" s="10">
        <v>1.8080000000000001</v>
      </c>
      <c r="R16" s="11">
        <v>1.9259999999999999</v>
      </c>
      <c r="S16">
        <v>2</v>
      </c>
      <c r="T16">
        <f>(Q16+R16)/2</f>
        <v>1.867</v>
      </c>
    </row>
    <row r="17" spans="1:20" ht="14">
      <c r="B17" s="1" t="s">
        <v>20</v>
      </c>
      <c r="Q17" s="15">
        <v>1.6020000000000001</v>
      </c>
      <c r="R17" s="11">
        <v>1.931</v>
      </c>
      <c r="S17">
        <v>1.8</v>
      </c>
      <c r="T17">
        <f t="shared" ref="T17:T31" si="0">(Q17+R17)/2</f>
        <v>1.7665000000000002</v>
      </c>
    </row>
    <row r="18" spans="1:20" ht="14">
      <c r="B18" s="1" t="s">
        <v>21</v>
      </c>
      <c r="Q18" s="11">
        <v>2.032</v>
      </c>
      <c r="R18" s="11">
        <v>1.9450000000000001</v>
      </c>
      <c r="S18">
        <v>1.6</v>
      </c>
      <c r="T18">
        <f t="shared" si="0"/>
        <v>1.9885000000000002</v>
      </c>
    </row>
    <row r="19" spans="1:20" ht="14">
      <c r="B19" s="1" t="s">
        <v>22</v>
      </c>
      <c r="Q19" s="15">
        <v>1.708</v>
      </c>
      <c r="R19" s="15">
        <v>1.65</v>
      </c>
      <c r="S19">
        <v>1.4</v>
      </c>
      <c r="T19">
        <f t="shared" si="0"/>
        <v>1.6789999999999998</v>
      </c>
    </row>
    <row r="20" spans="1:20">
      <c r="Q20" s="17">
        <v>1.506</v>
      </c>
      <c r="R20" s="15">
        <v>1.6539999999999999</v>
      </c>
      <c r="S20">
        <v>1.2</v>
      </c>
      <c r="T20">
        <f t="shared" si="0"/>
        <v>1.58</v>
      </c>
    </row>
    <row r="21" spans="1:20" ht="14">
      <c r="A21" s="4" t="s">
        <v>23</v>
      </c>
      <c r="B21" s="5"/>
      <c r="Q21" s="18">
        <v>1.054</v>
      </c>
      <c r="R21" s="20">
        <v>1.35</v>
      </c>
      <c r="S21">
        <v>1</v>
      </c>
      <c r="T21">
        <f t="shared" si="0"/>
        <v>1.202</v>
      </c>
    </row>
    <row r="22" spans="1:20" ht="14">
      <c r="A22" s="1" t="s">
        <v>24</v>
      </c>
      <c r="B22">
        <v>25.2</v>
      </c>
      <c r="Q22" s="18">
        <v>1.1579999999999999</v>
      </c>
      <c r="R22" s="18">
        <v>1.109</v>
      </c>
      <c r="S22">
        <v>0.8</v>
      </c>
      <c r="T22">
        <f t="shared" si="0"/>
        <v>1.1335</v>
      </c>
    </row>
    <row r="23" spans="1:20">
      <c r="Q23" s="19">
        <v>0.89800000000000002</v>
      </c>
      <c r="R23" s="9">
        <v>0.68100000000000005</v>
      </c>
      <c r="S23">
        <v>0.6</v>
      </c>
      <c r="T23">
        <f t="shared" si="0"/>
        <v>0.78950000000000009</v>
      </c>
    </row>
    <row r="24" spans="1:20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8">
        <v>0.76</v>
      </c>
      <c r="R24" s="9">
        <v>0.68400000000000005</v>
      </c>
      <c r="S24">
        <v>0.4</v>
      </c>
      <c r="T24">
        <f t="shared" si="0"/>
        <v>0.72199999999999998</v>
      </c>
    </row>
    <row r="25" spans="1:20" ht="14">
      <c r="B25" s="7" t="s">
        <v>25</v>
      </c>
      <c r="C25" s="8">
        <v>0.76</v>
      </c>
      <c r="D25" s="9">
        <v>0.68400000000000005</v>
      </c>
      <c r="E25" s="10">
        <v>1.8080000000000001</v>
      </c>
      <c r="F25" s="11">
        <v>1.9259999999999999</v>
      </c>
      <c r="G25" s="12">
        <v>-3.0000000000000001E-3</v>
      </c>
      <c r="H25" s="12">
        <v>0.13700000000000001</v>
      </c>
      <c r="I25" s="12">
        <v>0.13300000000000001</v>
      </c>
      <c r="J25" s="12">
        <v>5.5E-2</v>
      </c>
      <c r="K25" s="12">
        <v>5.8999999999999997E-2</v>
      </c>
      <c r="L25" s="12">
        <v>6.6000000000000003E-2</v>
      </c>
      <c r="M25" s="12">
        <v>6.6000000000000003E-2</v>
      </c>
      <c r="N25" s="12">
        <v>-3.0000000000000001E-3</v>
      </c>
      <c r="O25" s="13">
        <v>560</v>
      </c>
      <c r="Q25" s="14">
        <v>0.34599999999999997</v>
      </c>
      <c r="R25" s="14">
        <v>0.41699999999999998</v>
      </c>
      <c r="S25">
        <v>0.2</v>
      </c>
      <c r="T25">
        <f t="shared" si="0"/>
        <v>0.38149999999999995</v>
      </c>
    </row>
    <row r="26" spans="1:20" ht="14">
      <c r="B26" s="7" t="s">
        <v>26</v>
      </c>
      <c r="C26" s="14">
        <v>0.34599999999999997</v>
      </c>
      <c r="D26" s="14">
        <v>0.41699999999999998</v>
      </c>
      <c r="E26" s="15">
        <v>1.6020000000000001</v>
      </c>
      <c r="F26" s="11">
        <v>1.931</v>
      </c>
      <c r="G26" s="12">
        <v>-3.0000000000000001E-3</v>
      </c>
      <c r="H26" s="16">
        <v>0.20799999999999999</v>
      </c>
      <c r="I26" s="16">
        <v>0.187</v>
      </c>
      <c r="J26" s="12">
        <v>5.5E-2</v>
      </c>
      <c r="K26" s="12">
        <v>5.5E-2</v>
      </c>
      <c r="L26" s="16">
        <v>0.157</v>
      </c>
      <c r="M26" s="12">
        <v>6.3E-2</v>
      </c>
      <c r="N26" s="12">
        <v>-3.0000000000000001E-3</v>
      </c>
      <c r="O26" s="13">
        <v>560</v>
      </c>
      <c r="Q26" s="16">
        <v>0.20599999999999999</v>
      </c>
      <c r="R26" s="12">
        <v>0.121</v>
      </c>
      <c r="S26">
        <v>0.1</v>
      </c>
      <c r="T26">
        <f t="shared" si="0"/>
        <v>0.16349999999999998</v>
      </c>
    </row>
    <row r="27" spans="1:20" ht="14">
      <c r="B27" s="7" t="s">
        <v>27</v>
      </c>
      <c r="C27" s="16">
        <v>0.20599999999999999</v>
      </c>
      <c r="D27" s="12">
        <v>0.121</v>
      </c>
      <c r="E27" s="11">
        <v>2.032</v>
      </c>
      <c r="F27" s="11">
        <v>1.9450000000000001</v>
      </c>
      <c r="G27" s="12">
        <v>-3.0000000000000001E-3</v>
      </c>
      <c r="H27" s="14">
        <v>0.36499999999999999</v>
      </c>
      <c r="I27" s="14">
        <v>0.38200000000000001</v>
      </c>
      <c r="J27" s="14">
        <v>0.41</v>
      </c>
      <c r="K27" s="14">
        <v>0.38600000000000001</v>
      </c>
      <c r="L27" s="16">
        <v>0.246</v>
      </c>
      <c r="M27" s="16">
        <v>0.27700000000000002</v>
      </c>
      <c r="N27" s="12">
        <v>-3.0000000000000001E-3</v>
      </c>
      <c r="O27" s="13">
        <v>560</v>
      </c>
      <c r="Q27" s="16">
        <v>0.19</v>
      </c>
      <c r="R27" s="16">
        <v>0.16900000000000001</v>
      </c>
      <c r="S27">
        <v>0.08</v>
      </c>
      <c r="T27">
        <f t="shared" si="0"/>
        <v>0.17949999999999999</v>
      </c>
    </row>
    <row r="28" spans="1:20" ht="14">
      <c r="B28" s="7" t="s">
        <v>28</v>
      </c>
      <c r="C28" s="16">
        <v>0.19</v>
      </c>
      <c r="D28" s="16">
        <v>0.16900000000000001</v>
      </c>
      <c r="E28" s="15">
        <v>1.708</v>
      </c>
      <c r="F28" s="15">
        <v>1.65</v>
      </c>
      <c r="G28" s="12">
        <v>-3.0000000000000001E-3</v>
      </c>
      <c r="H28" s="17">
        <v>1.4850000000000001</v>
      </c>
      <c r="I28" s="17">
        <v>1.5049999999999999</v>
      </c>
      <c r="J28" s="10">
        <v>1.786</v>
      </c>
      <c r="K28" s="15">
        <v>1.6419999999999999</v>
      </c>
      <c r="L28" s="18">
        <v>1.08</v>
      </c>
      <c r="M28" s="19">
        <v>0.96499999999999997</v>
      </c>
      <c r="N28" s="12">
        <v>-3.0000000000000001E-3</v>
      </c>
      <c r="O28" s="13">
        <v>560</v>
      </c>
      <c r="Q28" s="12">
        <v>0.10100000000000001</v>
      </c>
      <c r="R28" s="12">
        <v>9.9000000000000005E-2</v>
      </c>
      <c r="S28" s="22">
        <v>0.04</v>
      </c>
      <c r="T28">
        <f t="shared" si="0"/>
        <v>0.1</v>
      </c>
    </row>
    <row r="29" spans="1:20" ht="14">
      <c r="B29" s="7" t="s">
        <v>29</v>
      </c>
      <c r="C29" s="12">
        <v>0.10100000000000001</v>
      </c>
      <c r="D29" s="12">
        <v>9.9000000000000005E-2</v>
      </c>
      <c r="E29" s="17">
        <v>1.506</v>
      </c>
      <c r="F29" s="15">
        <v>1.6539999999999999</v>
      </c>
      <c r="G29" s="12">
        <v>-3.0000000000000001E-3</v>
      </c>
      <c r="H29" s="12">
        <v>0.112</v>
      </c>
      <c r="I29" s="12">
        <v>0.112</v>
      </c>
      <c r="J29" s="12">
        <v>0.13300000000000001</v>
      </c>
      <c r="K29" s="12">
        <v>0.123</v>
      </c>
      <c r="L29" s="12">
        <v>0.109</v>
      </c>
      <c r="M29" s="12">
        <v>0.128</v>
      </c>
      <c r="N29" s="12">
        <v>-3.0000000000000001E-3</v>
      </c>
      <c r="O29" s="13">
        <v>560</v>
      </c>
      <c r="Q29" s="12">
        <v>7.0999999999999994E-2</v>
      </c>
      <c r="R29" s="12">
        <v>7.9000000000000001E-2</v>
      </c>
      <c r="S29" s="22">
        <v>0.02</v>
      </c>
      <c r="T29">
        <f t="shared" si="0"/>
        <v>7.4999999999999997E-2</v>
      </c>
    </row>
    <row r="30" spans="1:20" ht="14">
      <c r="B30" s="7" t="s">
        <v>30</v>
      </c>
      <c r="C30" s="12">
        <v>7.0999999999999994E-2</v>
      </c>
      <c r="D30" s="12">
        <v>7.9000000000000001E-2</v>
      </c>
      <c r="E30" s="18">
        <v>1.054</v>
      </c>
      <c r="F30" s="20">
        <v>1.35</v>
      </c>
      <c r="G30" s="12">
        <v>-3.0000000000000001E-3</v>
      </c>
      <c r="H30" s="16">
        <v>0.19400000000000001</v>
      </c>
      <c r="I30" s="16">
        <v>0.156</v>
      </c>
      <c r="J30" s="16">
        <v>0.183</v>
      </c>
      <c r="K30" s="16">
        <v>0.19</v>
      </c>
      <c r="L30" s="16">
        <v>0.20399999999999999</v>
      </c>
      <c r="M30" s="16">
        <v>0.24</v>
      </c>
      <c r="N30" s="12">
        <v>-3.0000000000000001E-3</v>
      </c>
      <c r="O30" s="13">
        <v>560</v>
      </c>
      <c r="Q30" s="12">
        <v>6.3E-2</v>
      </c>
      <c r="R30" s="12">
        <v>6.4000000000000001E-2</v>
      </c>
      <c r="S30" s="22">
        <v>0.01</v>
      </c>
      <c r="T30">
        <f t="shared" si="0"/>
        <v>6.3500000000000001E-2</v>
      </c>
    </row>
    <row r="31" spans="1:20" ht="14">
      <c r="B31" s="7" t="s">
        <v>31</v>
      </c>
      <c r="C31" s="12">
        <v>6.3E-2</v>
      </c>
      <c r="D31" s="12">
        <v>6.4000000000000001E-2</v>
      </c>
      <c r="E31" s="18">
        <v>1.1579999999999999</v>
      </c>
      <c r="F31" s="18">
        <v>1.109</v>
      </c>
      <c r="G31" s="12">
        <v>-3.0000000000000001E-3</v>
      </c>
      <c r="H31" s="14">
        <v>0.34799999999999998</v>
      </c>
      <c r="I31" s="14">
        <v>0.31</v>
      </c>
      <c r="J31" s="14">
        <v>0.315</v>
      </c>
      <c r="K31" s="14">
        <v>0.35</v>
      </c>
      <c r="L31" s="14">
        <v>0.34100000000000003</v>
      </c>
      <c r="M31" s="14">
        <v>0.313</v>
      </c>
      <c r="N31" s="12">
        <v>-3.0000000000000001E-3</v>
      </c>
      <c r="O31" s="13">
        <v>560</v>
      </c>
      <c r="Q31" s="12">
        <v>5.8000000000000003E-2</v>
      </c>
      <c r="R31" s="12">
        <v>5.8999999999999997E-2</v>
      </c>
      <c r="S31" s="22">
        <v>0</v>
      </c>
      <c r="T31">
        <f t="shared" si="0"/>
        <v>5.8499999999999996E-2</v>
      </c>
    </row>
    <row r="32" spans="1:20" ht="14">
      <c r="B32" s="7" t="s">
        <v>32</v>
      </c>
      <c r="C32" s="12">
        <v>5.8000000000000003E-2</v>
      </c>
      <c r="D32" s="12">
        <v>5.8999999999999997E-2</v>
      </c>
      <c r="E32" s="19">
        <v>0.89800000000000002</v>
      </c>
      <c r="F32" s="9">
        <v>0.68100000000000005</v>
      </c>
      <c r="G32" s="12">
        <v>-3.0000000000000001E-3</v>
      </c>
      <c r="H32" s="20">
        <v>1.3460000000000001</v>
      </c>
      <c r="I32" s="20">
        <v>1.4139999999999999</v>
      </c>
      <c r="J32" s="21">
        <v>1.2909999999999999</v>
      </c>
      <c r="K32" s="21">
        <v>1.2629999999999999</v>
      </c>
      <c r="L32" s="17">
        <v>1.456</v>
      </c>
      <c r="M32" s="20">
        <v>1.391</v>
      </c>
      <c r="N32" s="12">
        <v>-3.0000000000000001E-3</v>
      </c>
      <c r="O32" s="13">
        <v>560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2024-12-04T08:33:20Z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