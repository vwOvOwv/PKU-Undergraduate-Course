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iyuliu/Desktop/PKU-Undergraduate-Course-Public/生物化学实验(Biochemistry Lab)/开放实验/开放实验酶标仪数据/磷硫铁法/"/>
    </mc:Choice>
  </mc:AlternateContent>
  <xr:revisionPtr revIDLastSave="0" documentId="13_ncr:1_{3E8EB32C-BBB5-A744-87D1-2E1E613AA228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板 1 - Sheet1" sheetId="1" r:id="rId1"/>
  </sheets>
  <definedNames>
    <definedName name="MethodPointer1">-344778032</definedName>
    <definedName name="MethodPointer2">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86" i="1" l="1"/>
  <c r="AD86" i="1"/>
  <c r="AE86" i="1"/>
  <c r="AF86" i="1"/>
  <c r="AG86" i="1"/>
  <c r="AH86" i="1"/>
  <c r="AI86" i="1"/>
  <c r="AB86" i="1"/>
  <c r="AC85" i="1"/>
  <c r="AD85" i="1"/>
  <c r="AE85" i="1"/>
  <c r="AF85" i="1"/>
  <c r="AG85" i="1"/>
  <c r="AH85" i="1"/>
  <c r="AI85" i="1"/>
  <c r="AB85" i="1"/>
  <c r="R57" i="1" a="1"/>
  <c r="R57" i="1" s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U43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4" i="1"/>
  <c r="U45" i="1"/>
  <c r="U46" i="1"/>
  <c r="U47" i="1"/>
  <c r="U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<sst xmlns="http://schemas.openxmlformats.org/spreadsheetml/2006/main" count="33" uniqueCount="33">
  <si>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</si>
  <si>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</si>
  <si>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</si>
  <si>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周五三组预实验</t>
    </r>
    <r>
      <rPr>
        <sz val="10"/>
        <rFont val="Arial"/>
        <family val="2"/>
      </rPr>
      <t xml:space="preserve"> lpy</t>
    </r>
    <r>
      <rPr>
        <sz val="10"/>
        <rFont val="宋体"/>
        <family val="3"/>
        <charset val="134"/>
      </rPr>
      <t>磷硫铁法</t>
    </r>
    <r>
      <rPr>
        <sz val="10"/>
        <rFont val="Arial"/>
        <family val="2"/>
      </rPr>
      <t>-2.xpt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</si>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</sst>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'板 1 - Sheet1'!$T$35:$T$42</c:f>
              <c:numCache>
                <c:formatCode>General</c:formatCode>
                <c:ptCount val="8"/>
                <c:pt idx="0">
                  <c:v>0.13999999999999999</c:v>
                </c:pt>
                <c:pt idx="1">
                  <c:v>0.12</c:v>
                </c:pt>
                <c:pt idx="2">
                  <c:v>0.1</c:v>
                </c:pt>
                <c:pt idx="3">
                  <c:v>8.0000000000000016E-2</c:v>
                </c:pt>
                <c:pt idx="4">
                  <c:v>0.06</c:v>
                </c:pt>
                <c:pt idx="5">
                  <c:v>4.0000000000000008E-2</c:v>
                </c:pt>
                <c:pt idx="6">
                  <c:v>2.0000000000000004E-2</c:v>
                </c:pt>
                <c:pt idx="7">
                  <c:v>1.0000000000000002E-2</c:v>
                </c:pt>
              </c:numCache>
            </c:numRef>
          </c:xVal>
          <c:yVal>
            <c:numRef>
              <c:f>'板 1 - Sheet1'!$V$35:$V$42</c:f>
              <c:numCache>
                <c:formatCode>General</c:formatCode>
                <c:ptCount val="8"/>
                <c:pt idx="0">
                  <c:v>2.3094999999999999</c:v>
                </c:pt>
                <c:pt idx="1">
                  <c:v>1.9724999999999999</c:v>
                </c:pt>
                <c:pt idx="2">
                  <c:v>1.8055000000000001</c:v>
                </c:pt>
                <c:pt idx="3">
                  <c:v>1.3265</c:v>
                </c:pt>
                <c:pt idx="4">
                  <c:v>1.1254999999999999</c:v>
                </c:pt>
                <c:pt idx="5">
                  <c:v>0.82350000000000012</c:v>
                </c:pt>
                <c:pt idx="6">
                  <c:v>0.40099999999999997</c:v>
                </c:pt>
                <c:pt idx="7">
                  <c:v>0.22649999999999998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9F-3647-8742-72C7229E5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757808"/>
        <c:axId val="1297226768"/>
      </c:scatterChart>
      <c:valAx>
        <c:axId val="109775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297226768"/>
        <c:crosses val="autoZero"/>
        <c:crossBetween val="midCat"/>
      </c:valAx>
      <c:valAx>
        <c:axId val="129722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09775780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349250</xdr:colOff>
      <xdr:row>34</xdr:row>
      <xdr:rowOff>82550</xdr:rowOff>
    </xdr:from>
    <xdr:to>
      <xdr:col>13</xdr:col>
      <xdr:colOff>209550</xdr:colOff>
      <xdr:row>51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D8637C-3E5A-4A45-84F4-34C572463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94"/>
  <sheetViews>
    <sheetView tabSelected="1" topLeftCell="J45" workbookViewId="0">
      <selection activeCell="AB85" sqref="AB85:AE86"/>
    </sheetView>
  </sheetViews>
  <sheetFormatPr baseColWidth="10" defaultColWidth="8.83203125" defaultRowHeight="13"/>
  <cols>
    <col min="1" max="1" width="20.6640625" customWidth="1"/>
    <col min="2" max="2" width="12.6640625" customWidth="1"/>
  </cols>
  <sheetData>
    <row r="2" spans="1:18" ht="14">
      <c r="A2" s="1" t="s">
        <v>0</v>
      </c>
      <c r="B2" t="s">
        <v>1</v>
      </c>
    </row>
    <row r="4" spans="1:18" ht="14">
      <c r="A4" s="1" t="s">
        <v>2</v>
      </c>
      <c r="B4" t="s">
        <v>3</v>
      </c>
    </row>
    <row r="5" spans="1:18" ht="14">
      <c r="A5" s="1" t="s">
        <v>4</v>
      </c>
    </row>
    <row r="6" spans="1:18" ht="14">
      <c r="A6" s="1" t="s">
        <v>5</v>
      </c>
      <c r="B6" s="1" t="s">
        <v>6</v>
      </c>
    </row>
    <row r="7" spans="1:18" ht="14">
      <c r="A7" s="1" t="s">
        <v>7</v>
      </c>
      <c r="B7" s="2">
        <v>45618</v>
      </c>
    </row>
    <row r="8" spans="1:18" ht="14">
      <c r="A8" s="1" t="s">
        <v>8</v>
      </c>
      <c r="B8" s="3">
        <v>0.7036458333333333</v>
      </c>
    </row>
    <row r="9" spans="1:18" ht="14">
      <c r="A9" s="1" t="s">
        <v>9</v>
      </c>
      <c r="B9" t="s">
        <v>10</v>
      </c>
    </row>
    <row r="10" spans="1:18" ht="14">
      <c r="A10" s="1" t="s">
        <v>11</v>
      </c>
      <c r="B10">
        <v>19012425</v>
      </c>
    </row>
    <row r="11" spans="1:18" ht="14">
      <c r="A11" s="1" t="s">
        <v>12</v>
      </c>
      <c r="B11" s="1" t="s">
        <v>13</v>
      </c>
    </row>
    <row r="13" spans="1:18" ht="14">
      <c r="A13" s="4" t="s">
        <v>14</v>
      </c>
      <c r="B13" s="5"/>
    </row>
    <row r="14" spans="1:18" ht="14">
      <c r="A14" s="1" t="s">
        <v>15</v>
      </c>
      <c r="B14" t="s">
        <v>16</v>
      </c>
    </row>
    <row r="15" spans="1:18" ht="14">
      <c r="A15" s="1" t="s">
        <v>17</v>
      </c>
    </row>
    <row r="16" spans="1:18" ht="14">
      <c r="A16" s="1" t="s">
        <v>18</v>
      </c>
      <c r="B16" s="1" t="s">
        <v>19</v>
      </c>
      <c r="Q16" s="14"/>
      <c r="R16" s="14"/>
    </row>
    <row r="17" spans="1:22" ht="14">
      <c r="B17" s="1" t="s">
        <v>20</v>
      </c>
      <c r="Q17" s="14">
        <v>3.5720000000000001</v>
      </c>
      <c r="R17" s="14">
        <v>3.5150000000000001</v>
      </c>
      <c r="S17">
        <v>10</v>
      </c>
      <c r="T17">
        <v>1</v>
      </c>
      <c r="U17">
        <f t="shared" ref="U17:U47" si="0">(Q17+R17)/2</f>
        <v>3.5434999999999999</v>
      </c>
      <c r="V17">
        <f t="shared" ref="V17:V46" si="1">U17-0.063</f>
        <v>3.4804999999999997</v>
      </c>
    </row>
    <row r="18" spans="1:22" ht="14">
      <c r="B18" s="1" t="s">
        <v>21</v>
      </c>
      <c r="Q18" s="13">
        <v>3.355</v>
      </c>
      <c r="R18" s="14">
        <v>3.5089999999999999</v>
      </c>
      <c r="S18">
        <v>9</v>
      </c>
      <c r="T18">
        <v>0.9</v>
      </c>
      <c r="U18">
        <f t="shared" si="0"/>
        <v>3.4319999999999999</v>
      </c>
      <c r="V18">
        <f t="shared" si="1"/>
        <v>3.3689999999999998</v>
      </c>
    </row>
    <row r="19" spans="1:22" ht="14">
      <c r="B19" s="1" t="s">
        <v>22</v>
      </c>
      <c r="Q19" s="14">
        <v>3.68</v>
      </c>
      <c r="R19" s="13">
        <v>3.3860000000000001</v>
      </c>
      <c r="S19">
        <v>8</v>
      </c>
      <c r="T19">
        <v>0.8</v>
      </c>
      <c r="U19">
        <f t="shared" si="0"/>
        <v>3.5330000000000004</v>
      </c>
      <c r="V19">
        <f t="shared" si="1"/>
        <v>3.47</v>
      </c>
    </row>
    <row r="20" spans="1:22">
      <c r="Q20" s="14">
        <v>3.5510000000000002</v>
      </c>
      <c r="R20" s="14">
        <v>3.694</v>
      </c>
      <c r="S20">
        <v>7</v>
      </c>
      <c r="T20">
        <v>0.70000000000000007</v>
      </c>
      <c r="U20">
        <f t="shared" si="0"/>
        <v>3.6225000000000001</v>
      </c>
      <c r="V20">
        <f t="shared" si="1"/>
        <v>3.5594999999999999</v>
      </c>
    </row>
    <row r="21" spans="1:22" ht="14">
      <c r="A21" s="4" t="s">
        <v>23</v>
      </c>
      <c r="B21" s="5"/>
      <c r="Q21" s="14">
        <v>3.5059999999999998</v>
      </c>
      <c r="R21" s="14">
        <v>3.4580000000000002</v>
      </c>
      <c r="S21">
        <v>6</v>
      </c>
      <c r="T21">
        <v>0.60000000000000009</v>
      </c>
      <c r="U21">
        <f t="shared" si="0"/>
        <v>3.4820000000000002</v>
      </c>
      <c r="V21">
        <f t="shared" si="1"/>
        <v>3.419</v>
      </c>
    </row>
    <row r="22" spans="1:22" ht="14">
      <c r="A22" s="1" t="s">
        <v>24</v>
      </c>
      <c r="B22">
        <v>24.1</v>
      </c>
      <c r="Q22" s="14">
        <v>3.496</v>
      </c>
      <c r="R22" s="14">
        <v>3.6080000000000001</v>
      </c>
      <c r="S22">
        <v>5</v>
      </c>
      <c r="T22">
        <v>0.5</v>
      </c>
      <c r="U22">
        <f t="shared" si="0"/>
        <v>3.552</v>
      </c>
      <c r="V22">
        <f t="shared" si="1"/>
        <v>3.4889999999999999</v>
      </c>
    </row>
    <row r="23" spans="1:22">
      <c r="Q23" s="13">
        <v>3.4260000000000002</v>
      </c>
      <c r="R23" s="14">
        <v>3.444</v>
      </c>
      <c r="S23">
        <v>4</v>
      </c>
      <c r="T23">
        <v>0.4</v>
      </c>
      <c r="U23">
        <f t="shared" si="0"/>
        <v>3.4350000000000001</v>
      </c>
      <c r="V23">
        <f t="shared" si="1"/>
        <v>3.3719999999999999</v>
      </c>
    </row>
    <row r="24" spans="1:22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Q24" s="12">
        <v>3.169</v>
      </c>
      <c r="R24" s="13">
        <v>3.2210000000000001</v>
      </c>
      <c r="S24">
        <v>3.6</v>
      </c>
      <c r="T24">
        <v>0.36000000000000004</v>
      </c>
      <c r="U24">
        <f t="shared" si="0"/>
        <v>3.1950000000000003</v>
      </c>
      <c r="V24">
        <f t="shared" si="1"/>
        <v>3.1320000000000001</v>
      </c>
    </row>
    <row r="25" spans="1:22" ht="14">
      <c r="B25" s="7" t="s">
        <v>25</v>
      </c>
      <c r="C25" s="8">
        <v>0.79</v>
      </c>
      <c r="D25" s="9">
        <v>0.98299999999999998</v>
      </c>
      <c r="E25" s="10">
        <v>2.41</v>
      </c>
      <c r="F25" s="11">
        <v>2.6880000000000002</v>
      </c>
      <c r="G25" s="12">
        <v>3.169</v>
      </c>
      <c r="H25" s="13">
        <v>3.2210000000000001</v>
      </c>
      <c r="I25" s="14">
        <v>3.5720000000000001</v>
      </c>
      <c r="J25" s="14">
        <v>3.5150000000000001</v>
      </c>
      <c r="K25" s="15">
        <v>0.154</v>
      </c>
      <c r="L25" s="15">
        <v>0.157</v>
      </c>
      <c r="M25" s="15">
        <v>5.1999999999999998E-2</v>
      </c>
      <c r="N25" s="15">
        <v>4.3999999999999997E-2</v>
      </c>
      <c r="O25" s="16">
        <v>560</v>
      </c>
      <c r="Q25" s="12">
        <v>3.121</v>
      </c>
      <c r="R25" s="12">
        <v>3.1589999999999998</v>
      </c>
      <c r="S25">
        <v>3.4</v>
      </c>
      <c r="T25">
        <v>0.34</v>
      </c>
      <c r="U25">
        <f t="shared" si="0"/>
        <v>3.1399999999999997</v>
      </c>
      <c r="V25">
        <f t="shared" si="1"/>
        <v>3.0769999999999995</v>
      </c>
    </row>
    <row r="26" spans="1:22" ht="14">
      <c r="B26" s="7" t="s">
        <v>26</v>
      </c>
      <c r="C26" s="17">
        <v>0.44900000000000001</v>
      </c>
      <c r="D26" s="17">
        <v>0.47899999999999998</v>
      </c>
      <c r="E26" s="10">
        <v>2.423</v>
      </c>
      <c r="F26" s="11">
        <v>2.722</v>
      </c>
      <c r="G26" s="12">
        <v>3.121</v>
      </c>
      <c r="H26" s="12">
        <v>3.1589999999999998</v>
      </c>
      <c r="I26" s="15">
        <v>4.5999999999999999E-2</v>
      </c>
      <c r="J26" s="15">
        <v>4.3999999999999997E-2</v>
      </c>
      <c r="K26" s="15">
        <v>0.26500000000000001</v>
      </c>
      <c r="L26" s="15">
        <v>0.27100000000000002</v>
      </c>
      <c r="M26" s="15">
        <v>4.4999999999999998E-2</v>
      </c>
      <c r="N26" s="15">
        <v>4.2999999999999997E-2</v>
      </c>
      <c r="O26" s="16">
        <v>560</v>
      </c>
      <c r="Q26" s="13">
        <v>3.2730000000000001</v>
      </c>
      <c r="R26" s="13">
        <v>3.2650000000000001</v>
      </c>
      <c r="S26">
        <v>3.2</v>
      </c>
      <c r="T26">
        <v>0.32000000000000006</v>
      </c>
      <c r="U26">
        <f t="shared" si="0"/>
        <v>3.2690000000000001</v>
      </c>
      <c r="V26">
        <f t="shared" si="1"/>
        <v>3.206</v>
      </c>
    </row>
    <row r="27" spans="1:22" ht="14">
      <c r="B27" s="7" t="s">
        <v>27</v>
      </c>
      <c r="C27" s="15">
        <v>0.29899999999999999</v>
      </c>
      <c r="D27" s="15">
        <v>0.28000000000000003</v>
      </c>
      <c r="E27" s="18">
        <v>2.282</v>
      </c>
      <c r="F27" s="18">
        <v>2.3450000000000002</v>
      </c>
      <c r="G27" s="13">
        <v>3.2730000000000001</v>
      </c>
      <c r="H27" s="13">
        <v>3.2650000000000001</v>
      </c>
      <c r="I27" s="13">
        <v>3.355</v>
      </c>
      <c r="J27" s="14">
        <v>3.5089999999999999</v>
      </c>
      <c r="K27" s="17">
        <v>0.496</v>
      </c>
      <c r="L27" s="17">
        <v>0.505</v>
      </c>
      <c r="M27" s="15">
        <v>4.4999999999999998E-2</v>
      </c>
      <c r="N27" s="15">
        <v>4.2999999999999997E-2</v>
      </c>
      <c r="O27" s="16">
        <v>560</v>
      </c>
      <c r="Q27" s="11">
        <v>2.738</v>
      </c>
      <c r="R27" s="12">
        <v>3.121</v>
      </c>
      <c r="S27">
        <v>3</v>
      </c>
      <c r="T27">
        <v>0.30000000000000004</v>
      </c>
      <c r="U27">
        <f t="shared" si="0"/>
        <v>2.9295</v>
      </c>
      <c r="V27">
        <f t="shared" si="1"/>
        <v>2.8664999999999998</v>
      </c>
    </row>
    <row r="28" spans="1:22" ht="14">
      <c r="B28" s="7" t="s">
        <v>28</v>
      </c>
      <c r="C28" s="19">
        <v>1.4339999999999999</v>
      </c>
      <c r="D28" s="20">
        <v>1.3220000000000001</v>
      </c>
      <c r="E28" s="10">
        <v>2.5110000000000001</v>
      </c>
      <c r="F28" s="18">
        <v>2.234</v>
      </c>
      <c r="G28" s="11">
        <v>2.738</v>
      </c>
      <c r="H28" s="12">
        <v>3.121</v>
      </c>
      <c r="I28" s="14">
        <v>3.68</v>
      </c>
      <c r="J28" s="13">
        <v>3.3860000000000001</v>
      </c>
      <c r="K28" s="21">
        <v>1.861</v>
      </c>
      <c r="L28" s="22">
        <v>1.887</v>
      </c>
      <c r="M28" s="15">
        <v>4.3999999999999997E-2</v>
      </c>
      <c r="N28" s="15">
        <v>4.2999999999999997E-2</v>
      </c>
      <c r="O28" s="16">
        <v>560</v>
      </c>
      <c r="Q28" s="12">
        <v>2.9430000000000001</v>
      </c>
      <c r="R28" s="12">
        <v>3.1389999999999998</v>
      </c>
      <c r="S28">
        <v>2.8</v>
      </c>
      <c r="T28">
        <v>0.27999999999999997</v>
      </c>
      <c r="U28">
        <f t="shared" si="0"/>
        <v>3.0409999999999999</v>
      </c>
      <c r="V28">
        <f t="shared" si="1"/>
        <v>2.9779999999999998</v>
      </c>
    </row>
    <row r="29" spans="1:22" ht="14">
      <c r="B29" s="7" t="s">
        <v>29</v>
      </c>
      <c r="C29" s="8">
        <v>0.73</v>
      </c>
      <c r="D29" s="8">
        <v>0.75700000000000001</v>
      </c>
      <c r="E29" s="22">
        <v>2.0249999999999999</v>
      </c>
      <c r="F29" s="22">
        <v>2.0459999999999998</v>
      </c>
      <c r="G29" s="12">
        <v>2.9430000000000001</v>
      </c>
      <c r="H29" s="12">
        <v>3.1389999999999998</v>
      </c>
      <c r="I29" s="14">
        <v>3.5510000000000002</v>
      </c>
      <c r="J29" s="14">
        <v>3.694</v>
      </c>
      <c r="K29" s="15">
        <v>0.08</v>
      </c>
      <c r="L29" s="15">
        <v>8.3000000000000004E-2</v>
      </c>
      <c r="M29" s="15">
        <v>0.19400000000000001</v>
      </c>
      <c r="N29" s="15">
        <v>0.16600000000000001</v>
      </c>
      <c r="O29" s="16">
        <v>560</v>
      </c>
      <c r="Q29" s="12">
        <v>3.1019999999999999</v>
      </c>
      <c r="R29" s="13">
        <v>3.194</v>
      </c>
      <c r="S29">
        <v>2.6</v>
      </c>
      <c r="T29">
        <v>0.26</v>
      </c>
      <c r="U29">
        <f t="shared" si="0"/>
        <v>3.1479999999999997</v>
      </c>
      <c r="V29">
        <f t="shared" si="1"/>
        <v>3.0849999999999995</v>
      </c>
    </row>
    <row r="30" spans="1:22" ht="14">
      <c r="B30" s="7" t="s">
        <v>30</v>
      </c>
      <c r="C30" s="17">
        <v>0.45</v>
      </c>
      <c r="D30" s="17">
        <v>0.48699999999999999</v>
      </c>
      <c r="E30" s="22">
        <v>2.0619999999999998</v>
      </c>
      <c r="F30" s="21">
        <v>1.675</v>
      </c>
      <c r="G30" s="12">
        <v>3.1019999999999999</v>
      </c>
      <c r="H30" s="13">
        <v>3.194</v>
      </c>
      <c r="I30" s="14">
        <v>3.5059999999999998</v>
      </c>
      <c r="J30" s="14">
        <v>3.4580000000000002</v>
      </c>
      <c r="K30" s="15">
        <v>9.9000000000000005E-2</v>
      </c>
      <c r="L30" s="15">
        <v>0.10199999999999999</v>
      </c>
      <c r="M30" s="17">
        <v>0.35699999999999998</v>
      </c>
      <c r="N30" s="17">
        <v>0.34899999999999998</v>
      </c>
      <c r="O30" s="16">
        <v>560</v>
      </c>
      <c r="Q30" s="11">
        <v>2.7389999999999999</v>
      </c>
      <c r="R30" s="11">
        <v>2.863</v>
      </c>
      <c r="S30">
        <v>2.4</v>
      </c>
      <c r="T30">
        <v>0.24</v>
      </c>
      <c r="U30">
        <f t="shared" si="0"/>
        <v>2.8010000000000002</v>
      </c>
      <c r="V30">
        <f t="shared" si="1"/>
        <v>2.738</v>
      </c>
    </row>
    <row r="31" spans="1:22" ht="14">
      <c r="B31" s="7" t="s">
        <v>31</v>
      </c>
      <c r="C31" s="15">
        <v>0.215</v>
      </c>
      <c r="D31" s="15">
        <v>0.217</v>
      </c>
      <c r="E31" s="20">
        <v>1.1990000000000001</v>
      </c>
      <c r="F31" s="19">
        <v>1.58</v>
      </c>
      <c r="G31" s="11">
        <v>2.7389999999999999</v>
      </c>
      <c r="H31" s="11">
        <v>2.863</v>
      </c>
      <c r="I31" s="14">
        <v>3.496</v>
      </c>
      <c r="J31" s="14">
        <v>3.6080000000000001</v>
      </c>
      <c r="K31" s="15">
        <v>0.14000000000000001</v>
      </c>
      <c r="L31" s="15">
        <v>0.14599999999999999</v>
      </c>
      <c r="M31" s="8">
        <v>0.58199999999999996</v>
      </c>
      <c r="N31" s="8">
        <v>0.61799999999999999</v>
      </c>
      <c r="O31" s="16">
        <v>560</v>
      </c>
      <c r="Q31" s="11">
        <v>2.653</v>
      </c>
      <c r="R31" s="12">
        <v>2.9119999999999999</v>
      </c>
      <c r="S31">
        <v>2.2000000000000002</v>
      </c>
      <c r="T31">
        <v>0.22000000000000003</v>
      </c>
      <c r="U31">
        <f t="shared" si="0"/>
        <v>2.7824999999999998</v>
      </c>
      <c r="V31">
        <f t="shared" si="1"/>
        <v>2.7194999999999996</v>
      </c>
    </row>
    <row r="32" spans="1:22" ht="14">
      <c r="B32" s="7" t="s">
        <v>32</v>
      </c>
      <c r="C32" s="15">
        <v>6.4000000000000001E-2</v>
      </c>
      <c r="D32" s="15">
        <v>6.2E-2</v>
      </c>
      <c r="E32" s="20">
        <v>1.141</v>
      </c>
      <c r="F32" s="20">
        <v>1.236</v>
      </c>
      <c r="G32" s="11">
        <v>2.653</v>
      </c>
      <c r="H32" s="12">
        <v>2.9119999999999999</v>
      </c>
      <c r="I32" s="13">
        <v>3.4260000000000002</v>
      </c>
      <c r="J32" s="14">
        <v>3.444</v>
      </c>
      <c r="K32" s="17">
        <v>0.43</v>
      </c>
      <c r="L32" s="17">
        <v>0.44</v>
      </c>
      <c r="M32" s="22">
        <v>2.0979999999999999</v>
      </c>
      <c r="N32" s="22">
        <v>2.0310000000000001</v>
      </c>
      <c r="O32" s="16">
        <v>560</v>
      </c>
      <c r="Q32" s="10">
        <v>2.41</v>
      </c>
      <c r="R32" s="11">
        <v>2.6880000000000002</v>
      </c>
      <c r="S32">
        <v>2</v>
      </c>
      <c r="T32">
        <v>0.2</v>
      </c>
      <c r="U32">
        <f t="shared" si="0"/>
        <v>2.5490000000000004</v>
      </c>
      <c r="V32">
        <f t="shared" si="1"/>
        <v>2.4860000000000002</v>
      </c>
    </row>
    <row r="33" spans="17:22">
      <c r="Q33" s="10">
        <v>2.423</v>
      </c>
      <c r="R33" s="11">
        <v>2.722</v>
      </c>
      <c r="S33">
        <v>1.8</v>
      </c>
      <c r="T33">
        <v>0.18000000000000002</v>
      </c>
      <c r="U33">
        <f t="shared" si="0"/>
        <v>2.5724999999999998</v>
      </c>
      <c r="V33">
        <f t="shared" si="1"/>
        <v>2.5094999999999996</v>
      </c>
    </row>
    <row r="34" spans="17:22">
      <c r="Q34" s="18">
        <v>2.282</v>
      </c>
      <c r="R34" s="18">
        <v>2.3450000000000002</v>
      </c>
      <c r="S34">
        <v>1.6</v>
      </c>
      <c r="T34">
        <v>0.16000000000000003</v>
      </c>
      <c r="U34">
        <f t="shared" si="0"/>
        <v>2.3135000000000003</v>
      </c>
      <c r="V34">
        <f t="shared" si="1"/>
        <v>2.2505000000000002</v>
      </c>
    </row>
    <row r="35" spans="17:22">
      <c r="Q35" s="10">
        <v>2.5110000000000001</v>
      </c>
      <c r="R35" s="18">
        <v>2.234</v>
      </c>
      <c r="S35">
        <v>1.4</v>
      </c>
      <c r="T35">
        <v>0.13999999999999999</v>
      </c>
      <c r="U35">
        <f t="shared" si="0"/>
        <v>2.3725000000000001</v>
      </c>
      <c r="V35">
        <f t="shared" si="1"/>
        <v>2.3094999999999999</v>
      </c>
    </row>
    <row r="36" spans="17:22">
      <c r="Q36" s="22">
        <v>2.0249999999999999</v>
      </c>
      <c r="R36" s="22">
        <v>2.0459999999999998</v>
      </c>
      <c r="S36">
        <v>1.2</v>
      </c>
      <c r="T36">
        <v>0.12</v>
      </c>
      <c r="U36">
        <f t="shared" si="0"/>
        <v>2.0354999999999999</v>
      </c>
      <c r="V36">
        <f t="shared" si="1"/>
        <v>1.9724999999999999</v>
      </c>
    </row>
    <row r="37" spans="17:22">
      <c r="Q37" s="22">
        <v>2.0619999999999998</v>
      </c>
      <c r="R37" s="21">
        <v>1.675</v>
      </c>
      <c r="S37">
        <v>1</v>
      </c>
      <c r="T37">
        <v>0.1</v>
      </c>
      <c r="U37">
        <f t="shared" si="0"/>
        <v>1.8685</v>
      </c>
      <c r="V37">
        <f t="shared" si="1"/>
        <v>1.8055000000000001</v>
      </c>
    </row>
    <row r="38" spans="17:22">
      <c r="Q38" s="20">
        <v>1.1990000000000001</v>
      </c>
      <c r="R38" s="19">
        <v>1.58</v>
      </c>
      <c r="S38">
        <v>0.8</v>
      </c>
      <c r="T38">
        <v>8.0000000000000016E-2</v>
      </c>
      <c r="U38">
        <f t="shared" si="0"/>
        <v>1.3895</v>
      </c>
      <c r="V38">
        <f t="shared" si="1"/>
        <v>1.3265</v>
      </c>
    </row>
    <row r="39" spans="17:22">
      <c r="Q39" s="20">
        <v>1.141</v>
      </c>
      <c r="R39" s="20">
        <v>1.236</v>
      </c>
      <c r="S39">
        <v>0.6</v>
      </c>
      <c r="T39">
        <v>0.06</v>
      </c>
      <c r="U39">
        <f t="shared" si="0"/>
        <v>1.1884999999999999</v>
      </c>
      <c r="V39">
        <f t="shared" si="1"/>
        <v>1.1254999999999999</v>
      </c>
    </row>
    <row r="40" spans="17:22">
      <c r="Q40" s="8">
        <v>0.79</v>
      </c>
      <c r="R40" s="9">
        <v>0.98299999999999998</v>
      </c>
      <c r="S40">
        <v>0.4</v>
      </c>
      <c r="T40">
        <v>4.0000000000000008E-2</v>
      </c>
      <c r="U40">
        <f t="shared" si="0"/>
        <v>0.88650000000000007</v>
      </c>
      <c r="V40">
        <f t="shared" si="1"/>
        <v>0.82350000000000012</v>
      </c>
    </row>
    <row r="41" spans="17:22">
      <c r="Q41" s="17">
        <v>0.44900000000000001</v>
      </c>
      <c r="R41" s="17">
        <v>0.47899999999999998</v>
      </c>
      <c r="S41">
        <v>0.2</v>
      </c>
      <c r="T41">
        <v>2.0000000000000004E-2</v>
      </c>
      <c r="U41">
        <f t="shared" si="0"/>
        <v>0.46399999999999997</v>
      </c>
      <c r="V41">
        <f t="shared" si="1"/>
        <v>0.40099999999999997</v>
      </c>
    </row>
    <row r="42" spans="17:22">
      <c r="Q42" s="15">
        <v>0.29899999999999999</v>
      </c>
      <c r="R42" s="15">
        <v>0.28000000000000003</v>
      </c>
      <c r="S42">
        <v>0.1</v>
      </c>
      <c r="T42">
        <v>1.0000000000000002E-2</v>
      </c>
      <c r="U42">
        <f t="shared" si="0"/>
        <v>0.28949999999999998</v>
      </c>
      <c r="V42">
        <f t="shared" si="1"/>
        <v>0.22649999999999998</v>
      </c>
    </row>
    <row r="43" spans="17:22">
      <c r="Q43" s="19">
        <v>1.4339999999999999</v>
      </c>
      <c r="R43" s="20">
        <v>1.3220000000000001</v>
      </c>
      <c r="S43">
        <v>0.08</v>
      </c>
      <c r="T43">
        <v>8.0000000000000002E-3</v>
      </c>
      <c r="U43">
        <f t="shared" si="0"/>
        <v>1.3780000000000001</v>
      </c>
      <c r="V43">
        <f t="shared" si="1"/>
        <v>1.3150000000000002</v>
      </c>
    </row>
    <row r="44" spans="17:22">
      <c r="Q44" s="8">
        <v>0.73</v>
      </c>
      <c r="R44" s="8">
        <v>0.75700000000000001</v>
      </c>
      <c r="S44">
        <v>0.04</v>
      </c>
      <c r="T44">
        <v>4.0000000000000001E-3</v>
      </c>
      <c r="U44">
        <f t="shared" si="0"/>
        <v>0.74350000000000005</v>
      </c>
      <c r="V44">
        <f t="shared" si="1"/>
        <v>0.6805000000000001</v>
      </c>
    </row>
    <row r="45" spans="17:22">
      <c r="Q45" s="17">
        <v>0.45</v>
      </c>
      <c r="R45" s="17">
        <v>0.48699999999999999</v>
      </c>
      <c r="S45">
        <v>0.02</v>
      </c>
      <c r="T45">
        <v>2E-3</v>
      </c>
      <c r="U45">
        <f t="shared" si="0"/>
        <v>0.46850000000000003</v>
      </c>
      <c r="V45">
        <f t="shared" si="1"/>
        <v>0.40550000000000003</v>
      </c>
    </row>
    <row r="46" spans="17:22">
      <c r="Q46" s="15">
        <v>0.215</v>
      </c>
      <c r="R46" s="15">
        <v>0.217</v>
      </c>
      <c r="S46">
        <v>0.01</v>
      </c>
      <c r="T46">
        <v>1E-3</v>
      </c>
      <c r="U46">
        <f t="shared" si="0"/>
        <v>0.216</v>
      </c>
      <c r="V46">
        <f t="shared" si="1"/>
        <v>0.153</v>
      </c>
    </row>
    <row r="47" spans="17:22">
      <c r="Q47" s="15">
        <v>6.4000000000000001E-2</v>
      </c>
      <c r="R47" s="15">
        <v>6.2E-2</v>
      </c>
      <c r="S47">
        <v>0</v>
      </c>
      <c r="T47">
        <v>0</v>
      </c>
      <c r="U47">
        <f t="shared" si="0"/>
        <v>6.3E-2</v>
      </c>
      <c r="V47">
        <f>U47-0.063</f>
        <v>0</v>
      </c>
    </row>
    <row r="56" spans="4:25">
      <c r="R56">
        <v>1</v>
      </c>
      <c r="S56">
        <v>2</v>
      </c>
      <c r="T56">
        <v>3</v>
      </c>
      <c r="U56">
        <v>4</v>
      </c>
      <c r="V56">
        <v>5</v>
      </c>
      <c r="W56">
        <v>6</v>
      </c>
      <c r="X56">
        <v>7</v>
      </c>
      <c r="Y56">
        <v>8</v>
      </c>
    </row>
    <row r="57" spans="4:25">
      <c r="D57">
        <v>0.79</v>
      </c>
      <c r="E57">
        <v>0.98299999999999998</v>
      </c>
      <c r="F57">
        <v>2.41</v>
      </c>
      <c r="G57">
        <v>2.6880000000000002</v>
      </c>
      <c r="H57">
        <v>3.169</v>
      </c>
      <c r="I57">
        <v>3.2210000000000001</v>
      </c>
      <c r="J57">
        <v>3.5720000000000001</v>
      </c>
      <c r="K57">
        <v>3.5150000000000001</v>
      </c>
      <c r="L57">
        <v>0.154</v>
      </c>
      <c r="M57">
        <v>0.157</v>
      </c>
      <c r="N57">
        <v>5.1999999999999998E-2</v>
      </c>
      <c r="O57">
        <v>4.3999999999999997E-2</v>
      </c>
      <c r="R57" cm="1">
        <f t="array" ref="R57:Y68">TRANSPOSE(D57:O64)</f>
        <v>0.79</v>
      </c>
      <c r="S57">
        <v>0.44900000000000001</v>
      </c>
      <c r="T57">
        <v>0.29899999999999999</v>
      </c>
      <c r="U57">
        <v>1.4339999999999999</v>
      </c>
      <c r="V57">
        <v>0.73</v>
      </c>
      <c r="W57">
        <v>0.45</v>
      </c>
      <c r="X57">
        <v>0.215</v>
      </c>
      <c r="Y57">
        <v>6.4000000000000001E-2</v>
      </c>
    </row>
    <row r="58" spans="4:25">
      <c r="D58">
        <v>0.44900000000000001</v>
      </c>
      <c r="E58">
        <v>0.47899999999999998</v>
      </c>
      <c r="F58">
        <v>2.423</v>
      </c>
      <c r="G58">
        <v>2.722</v>
      </c>
      <c r="H58">
        <v>3.121</v>
      </c>
      <c r="I58">
        <v>3.1589999999999998</v>
      </c>
      <c r="J58">
        <v>4.5999999999999999E-2</v>
      </c>
      <c r="K58">
        <v>4.3999999999999997E-2</v>
      </c>
      <c r="L58">
        <v>0.26500000000000001</v>
      </c>
      <c r="M58">
        <v>0.27100000000000002</v>
      </c>
      <c r="N58">
        <v>4.4999999999999998E-2</v>
      </c>
      <c r="O58">
        <v>4.2999999999999997E-2</v>
      </c>
      <c r="R58">
        <v>0.98299999999999998</v>
      </c>
      <c r="S58">
        <v>0.47899999999999998</v>
      </c>
      <c r="T58">
        <v>0.28000000000000003</v>
      </c>
      <c r="U58">
        <v>1.3220000000000001</v>
      </c>
      <c r="V58">
        <v>0.75700000000000001</v>
      </c>
      <c r="W58">
        <v>0.48699999999999999</v>
      </c>
      <c r="X58">
        <v>0.217</v>
      </c>
      <c r="Y58">
        <v>6.2E-2</v>
      </c>
    </row>
    <row r="59" spans="4:25">
      <c r="D59">
        <v>0.29899999999999999</v>
      </c>
      <c r="E59">
        <v>0.28000000000000003</v>
      </c>
      <c r="F59">
        <v>2.282</v>
      </c>
      <c r="G59">
        <v>2.3450000000000002</v>
      </c>
      <c r="H59">
        <v>3.2730000000000001</v>
      </c>
      <c r="I59">
        <v>3.2650000000000001</v>
      </c>
      <c r="J59">
        <v>3.355</v>
      </c>
      <c r="K59">
        <v>3.5089999999999999</v>
      </c>
      <c r="L59">
        <v>0.496</v>
      </c>
      <c r="M59">
        <v>0.505</v>
      </c>
      <c r="N59">
        <v>4.4999999999999998E-2</v>
      </c>
      <c r="O59">
        <v>4.2999999999999997E-2</v>
      </c>
      <c r="R59">
        <v>2.41</v>
      </c>
      <c r="S59">
        <v>2.423</v>
      </c>
      <c r="T59">
        <v>2.282</v>
      </c>
      <c r="U59">
        <v>2.5110000000000001</v>
      </c>
      <c r="V59">
        <v>2.0249999999999999</v>
      </c>
      <c r="W59">
        <v>2.0619999999999998</v>
      </c>
      <c r="X59">
        <v>1.1990000000000001</v>
      </c>
      <c r="Y59">
        <v>1.141</v>
      </c>
    </row>
    <row r="60" spans="4:25">
      <c r="D60">
        <v>1.4339999999999999</v>
      </c>
      <c r="E60">
        <v>1.3220000000000001</v>
      </c>
      <c r="F60">
        <v>2.5110000000000001</v>
      </c>
      <c r="G60">
        <v>2.234</v>
      </c>
      <c r="H60">
        <v>2.738</v>
      </c>
      <c r="I60">
        <v>3.121</v>
      </c>
      <c r="J60">
        <v>3.68</v>
      </c>
      <c r="K60">
        <v>3.3860000000000001</v>
      </c>
      <c r="L60">
        <v>1.861</v>
      </c>
      <c r="M60">
        <v>1.887</v>
      </c>
      <c r="N60">
        <v>4.3999999999999997E-2</v>
      </c>
      <c r="O60">
        <v>4.2999999999999997E-2</v>
      </c>
      <c r="R60">
        <v>2.6880000000000002</v>
      </c>
      <c r="S60">
        <v>2.722</v>
      </c>
      <c r="T60">
        <v>2.3450000000000002</v>
      </c>
      <c r="U60">
        <v>2.234</v>
      </c>
      <c r="V60">
        <v>2.0459999999999998</v>
      </c>
      <c r="W60">
        <v>1.675</v>
      </c>
      <c r="X60">
        <v>1.58</v>
      </c>
      <c r="Y60">
        <v>1.236</v>
      </c>
    </row>
    <row r="61" spans="4:25">
      <c r="D61">
        <v>0.73</v>
      </c>
      <c r="E61">
        <v>0.75700000000000001</v>
      </c>
      <c r="F61">
        <v>2.0249999999999999</v>
      </c>
      <c r="G61">
        <v>2.0459999999999998</v>
      </c>
      <c r="H61">
        <v>2.9430000000000001</v>
      </c>
      <c r="I61">
        <v>3.1389999999999998</v>
      </c>
      <c r="J61">
        <v>3.5510000000000002</v>
      </c>
      <c r="K61">
        <v>3.694</v>
      </c>
      <c r="L61">
        <v>0.08</v>
      </c>
      <c r="M61">
        <v>8.3000000000000004E-2</v>
      </c>
      <c r="N61">
        <v>0.19400000000000001</v>
      </c>
      <c r="O61">
        <v>0.16600000000000001</v>
      </c>
      <c r="R61">
        <v>3.169</v>
      </c>
      <c r="S61">
        <v>3.121</v>
      </c>
      <c r="T61">
        <v>3.2730000000000001</v>
      </c>
      <c r="U61">
        <v>2.738</v>
      </c>
      <c r="V61">
        <v>2.9430000000000001</v>
      </c>
      <c r="W61">
        <v>3.1019999999999999</v>
      </c>
      <c r="X61">
        <v>2.7389999999999999</v>
      </c>
      <c r="Y61">
        <v>2.653</v>
      </c>
    </row>
    <row r="62" spans="4:25">
      <c r="D62">
        <v>0.45</v>
      </c>
      <c r="E62">
        <v>0.48699999999999999</v>
      </c>
      <c r="F62">
        <v>2.0619999999999998</v>
      </c>
      <c r="G62">
        <v>1.675</v>
      </c>
      <c r="H62">
        <v>3.1019999999999999</v>
      </c>
      <c r="I62">
        <v>3.194</v>
      </c>
      <c r="J62">
        <v>3.5059999999999998</v>
      </c>
      <c r="K62">
        <v>3.4580000000000002</v>
      </c>
      <c r="L62">
        <v>9.9000000000000005E-2</v>
      </c>
      <c r="M62">
        <v>0.10199999999999999</v>
      </c>
      <c r="N62">
        <v>0.35699999999999998</v>
      </c>
      <c r="O62">
        <v>0.34899999999999998</v>
      </c>
      <c r="R62">
        <v>3.2210000000000001</v>
      </c>
      <c r="S62">
        <v>3.1589999999999998</v>
      </c>
      <c r="T62">
        <v>3.2650000000000001</v>
      </c>
      <c r="U62">
        <v>3.121</v>
      </c>
      <c r="V62">
        <v>3.1389999999999998</v>
      </c>
      <c r="W62">
        <v>3.194</v>
      </c>
      <c r="X62">
        <v>2.863</v>
      </c>
      <c r="Y62">
        <v>2.9119999999999999</v>
      </c>
    </row>
    <row r="63" spans="4:25">
      <c r="D63">
        <v>0.215</v>
      </c>
      <c r="E63">
        <v>0.217</v>
      </c>
      <c r="F63">
        <v>1.1990000000000001</v>
      </c>
      <c r="G63">
        <v>1.58</v>
      </c>
      <c r="H63">
        <v>2.7389999999999999</v>
      </c>
      <c r="I63">
        <v>2.863</v>
      </c>
      <c r="J63">
        <v>3.496</v>
      </c>
      <c r="K63">
        <v>3.6080000000000001</v>
      </c>
      <c r="L63">
        <v>0.14000000000000001</v>
      </c>
      <c r="M63">
        <v>0.14599999999999999</v>
      </c>
      <c r="N63">
        <v>0.58199999999999996</v>
      </c>
      <c r="O63">
        <v>0.61799999999999999</v>
      </c>
      <c r="R63">
        <v>3.5720000000000001</v>
      </c>
      <c r="S63">
        <v>4.5999999999999999E-2</v>
      </c>
      <c r="T63">
        <v>3.355</v>
      </c>
      <c r="U63">
        <v>3.68</v>
      </c>
      <c r="V63">
        <v>3.5510000000000002</v>
      </c>
      <c r="W63">
        <v>3.5059999999999998</v>
      </c>
      <c r="X63">
        <v>3.496</v>
      </c>
      <c r="Y63">
        <v>3.4260000000000002</v>
      </c>
    </row>
    <row r="64" spans="4:25">
      <c r="D64">
        <v>6.4000000000000001E-2</v>
      </c>
      <c r="E64">
        <v>6.2E-2</v>
      </c>
      <c r="F64">
        <v>1.141</v>
      </c>
      <c r="G64">
        <v>1.236</v>
      </c>
      <c r="H64">
        <v>2.653</v>
      </c>
      <c r="I64">
        <v>2.9119999999999999</v>
      </c>
      <c r="J64">
        <v>3.4260000000000002</v>
      </c>
      <c r="K64">
        <v>3.444</v>
      </c>
      <c r="L64">
        <v>0.43</v>
      </c>
      <c r="M64">
        <v>0.44</v>
      </c>
      <c r="N64">
        <v>2.0979999999999999</v>
      </c>
      <c r="O64">
        <v>2.0310000000000001</v>
      </c>
      <c r="R64">
        <v>3.5150000000000001</v>
      </c>
      <c r="S64">
        <v>4.3999999999999997E-2</v>
      </c>
      <c r="T64">
        <v>3.5089999999999999</v>
      </c>
      <c r="U64">
        <v>3.3860000000000001</v>
      </c>
      <c r="V64">
        <v>3.694</v>
      </c>
      <c r="W64">
        <v>3.4580000000000002</v>
      </c>
      <c r="X64">
        <v>3.6080000000000001</v>
      </c>
      <c r="Y64">
        <v>3.444</v>
      </c>
    </row>
    <row r="65" spans="18:25">
      <c r="R65">
        <v>0.154</v>
      </c>
      <c r="S65">
        <v>0.26500000000000001</v>
      </c>
      <c r="T65">
        <v>0.496</v>
      </c>
      <c r="U65">
        <v>1.861</v>
      </c>
      <c r="V65">
        <v>0.08</v>
      </c>
      <c r="W65">
        <v>9.9000000000000005E-2</v>
      </c>
      <c r="X65">
        <v>0.14000000000000001</v>
      </c>
      <c r="Y65">
        <v>0.43</v>
      </c>
    </row>
    <row r="66" spans="18:25">
      <c r="R66">
        <v>0.157</v>
      </c>
      <c r="S66">
        <v>0.27100000000000002</v>
      </c>
      <c r="T66">
        <v>0.505</v>
      </c>
      <c r="U66">
        <v>1.887</v>
      </c>
      <c r="V66">
        <v>8.3000000000000004E-2</v>
      </c>
      <c r="W66">
        <v>0.10199999999999999</v>
      </c>
      <c r="X66">
        <v>0.14599999999999999</v>
      </c>
      <c r="Y66">
        <v>0.44</v>
      </c>
    </row>
    <row r="67" spans="18:25">
      <c r="R67">
        <v>5.1999999999999998E-2</v>
      </c>
      <c r="S67">
        <v>4.4999999999999998E-2</v>
      </c>
      <c r="T67">
        <v>4.4999999999999998E-2</v>
      </c>
      <c r="U67">
        <v>4.3999999999999997E-2</v>
      </c>
      <c r="V67">
        <v>0.19400000000000001</v>
      </c>
      <c r="W67">
        <v>0.35699999999999998</v>
      </c>
      <c r="X67">
        <v>0.58199999999999996</v>
      </c>
      <c r="Y67">
        <v>2.0979999999999999</v>
      </c>
    </row>
    <row r="68" spans="18:25">
      <c r="R68">
        <v>4.3999999999999997E-2</v>
      </c>
      <c r="S68">
        <v>4.2999999999999997E-2</v>
      </c>
      <c r="T68">
        <v>4.2999999999999997E-2</v>
      </c>
      <c r="U68">
        <v>4.2999999999999997E-2</v>
      </c>
      <c r="V68">
        <v>0.16600000000000001</v>
      </c>
      <c r="W68">
        <v>0.34899999999999998</v>
      </c>
      <c r="X68">
        <v>0.61799999999999999</v>
      </c>
      <c r="Y68">
        <v>2.0310000000000001</v>
      </c>
    </row>
    <row r="82" spans="19:35">
      <c r="S82">
        <v>8</v>
      </c>
      <c r="T82">
        <v>7</v>
      </c>
      <c r="U82">
        <v>6</v>
      </c>
      <c r="V82">
        <v>5</v>
      </c>
      <c r="W82">
        <v>4</v>
      </c>
      <c r="X82">
        <v>3</v>
      </c>
      <c r="Y82">
        <v>2</v>
      </c>
      <c r="Z82">
        <v>1</v>
      </c>
    </row>
    <row r="83" spans="19:35">
      <c r="S83">
        <v>6.4000000000000001E-2</v>
      </c>
      <c r="T83">
        <v>0.215</v>
      </c>
      <c r="U83">
        <v>0.45</v>
      </c>
      <c r="V83">
        <v>0.73</v>
      </c>
      <c r="W83">
        <v>1.4339999999999999</v>
      </c>
      <c r="X83">
        <v>0.29899999999999999</v>
      </c>
      <c r="Y83">
        <v>0.44900000000000001</v>
      </c>
      <c r="Z83">
        <v>0.79</v>
      </c>
      <c r="AB83">
        <v>2.0979999999999999</v>
      </c>
      <c r="AC83">
        <v>0.58199999999999996</v>
      </c>
      <c r="AD83">
        <v>0.35699999999999998</v>
      </c>
      <c r="AE83">
        <v>0.19400000000000001</v>
      </c>
      <c r="AF83">
        <v>4.3999999999999997E-2</v>
      </c>
      <c r="AG83">
        <v>4.4999999999999998E-2</v>
      </c>
      <c r="AH83">
        <v>4.4999999999999998E-2</v>
      </c>
      <c r="AI83">
        <v>5.1999999999999998E-2</v>
      </c>
    </row>
    <row r="84" spans="19:35">
      <c r="S84">
        <v>6.2E-2</v>
      </c>
      <c r="T84">
        <v>0.217</v>
      </c>
      <c r="U84">
        <v>0.48699999999999999</v>
      </c>
      <c r="V84">
        <v>0.75700000000000001</v>
      </c>
      <c r="W84">
        <v>1.3220000000000001</v>
      </c>
      <c r="X84">
        <v>0.28000000000000003</v>
      </c>
      <c r="Y84">
        <v>0.47899999999999998</v>
      </c>
      <c r="Z84">
        <v>0.98299999999999998</v>
      </c>
      <c r="AB84">
        <v>2.0310000000000001</v>
      </c>
      <c r="AC84">
        <v>0.61799999999999999</v>
      </c>
      <c r="AD84">
        <v>0.34899999999999998</v>
      </c>
      <c r="AE84">
        <v>0.16600000000000001</v>
      </c>
      <c r="AF84">
        <v>4.2999999999999997E-2</v>
      </c>
      <c r="AG84">
        <v>4.2999999999999997E-2</v>
      </c>
      <c r="AH84">
        <v>4.2999999999999997E-2</v>
      </c>
      <c r="AI84">
        <v>4.3999999999999997E-2</v>
      </c>
    </row>
    <row r="85" spans="19:35">
      <c r="S85">
        <v>1.141</v>
      </c>
      <c r="T85">
        <v>1.1990000000000001</v>
      </c>
      <c r="U85">
        <v>2.0619999999999998</v>
      </c>
      <c r="V85">
        <v>2.0249999999999999</v>
      </c>
      <c r="W85">
        <v>2.5110000000000001</v>
      </c>
      <c r="X85">
        <v>2.282</v>
      </c>
      <c r="Y85">
        <v>2.423</v>
      </c>
      <c r="Z85">
        <v>2.41</v>
      </c>
      <c r="AB85">
        <f>(AB83+AB84)/2</f>
        <v>2.0644999999999998</v>
      </c>
      <c r="AC85">
        <f t="shared" ref="AC85:AI85" si="2">(AC83+AC84)/2</f>
        <v>0.6</v>
      </c>
      <c r="AD85">
        <f t="shared" si="2"/>
        <v>0.35299999999999998</v>
      </c>
      <c r="AE85">
        <f t="shared" si="2"/>
        <v>0.18</v>
      </c>
      <c r="AF85">
        <f t="shared" si="2"/>
        <v>4.3499999999999997E-2</v>
      </c>
      <c r="AG85">
        <f t="shared" si="2"/>
        <v>4.3999999999999997E-2</v>
      </c>
      <c r="AH85">
        <f t="shared" si="2"/>
        <v>4.3999999999999997E-2</v>
      </c>
      <c r="AI85">
        <f t="shared" si="2"/>
        <v>4.8000000000000001E-2</v>
      </c>
    </row>
    <row r="86" spans="19:35">
      <c r="S86">
        <v>1.236</v>
      </c>
      <c r="T86">
        <v>1.58</v>
      </c>
      <c r="U86">
        <v>1.675</v>
      </c>
      <c r="V86">
        <v>2.0459999999999998</v>
      </c>
      <c r="W86">
        <v>2.234</v>
      </c>
      <c r="X86">
        <v>2.3450000000000002</v>
      </c>
      <c r="Y86">
        <v>2.722</v>
      </c>
      <c r="Z86">
        <v>2.6880000000000002</v>
      </c>
      <c r="AB86">
        <f>ABS(AB83-AB84)</f>
        <v>6.6999999999999726E-2</v>
      </c>
      <c r="AC86">
        <f t="shared" ref="AC86:AI86" si="3">ABS(AC83-AC84)</f>
        <v>3.6000000000000032E-2</v>
      </c>
      <c r="AD86">
        <f t="shared" si="3"/>
        <v>8.0000000000000071E-3</v>
      </c>
      <c r="AE86">
        <f t="shared" si="3"/>
        <v>2.7999999999999997E-2</v>
      </c>
      <c r="AF86">
        <f t="shared" si="3"/>
        <v>1.0000000000000009E-3</v>
      </c>
      <c r="AG86">
        <f t="shared" si="3"/>
        <v>2.0000000000000018E-3</v>
      </c>
      <c r="AH86">
        <f t="shared" si="3"/>
        <v>2.0000000000000018E-3</v>
      </c>
      <c r="AI86">
        <f t="shared" si="3"/>
        <v>8.0000000000000002E-3</v>
      </c>
    </row>
    <row r="87" spans="19:35">
      <c r="S87">
        <v>2.653</v>
      </c>
      <c r="T87">
        <v>2.7389999999999999</v>
      </c>
      <c r="U87">
        <v>3.1019999999999999</v>
      </c>
      <c r="V87">
        <v>2.9430000000000001</v>
      </c>
      <c r="W87">
        <v>2.738</v>
      </c>
      <c r="X87">
        <v>3.2730000000000001</v>
      </c>
      <c r="Y87">
        <v>3.121</v>
      </c>
      <c r="Z87">
        <v>3.169</v>
      </c>
    </row>
    <row r="88" spans="19:35">
      <c r="S88">
        <v>2.9119999999999999</v>
      </c>
      <c r="T88">
        <v>2.863</v>
      </c>
      <c r="U88">
        <v>3.194</v>
      </c>
      <c r="V88">
        <v>3.1389999999999998</v>
      </c>
      <c r="W88">
        <v>3.121</v>
      </c>
      <c r="X88">
        <v>3.2650000000000001</v>
      </c>
      <c r="Y88">
        <v>3.1589999999999998</v>
      </c>
      <c r="Z88">
        <v>3.2210000000000001</v>
      </c>
    </row>
    <row r="89" spans="19:35">
      <c r="S89">
        <v>3.4260000000000002</v>
      </c>
      <c r="T89">
        <v>3.496</v>
      </c>
      <c r="U89">
        <v>3.5059999999999998</v>
      </c>
      <c r="V89">
        <v>3.5510000000000002</v>
      </c>
      <c r="W89">
        <v>3.68</v>
      </c>
      <c r="X89">
        <v>3.355</v>
      </c>
      <c r="Y89">
        <v>4.5999999999999999E-2</v>
      </c>
      <c r="Z89">
        <v>3.5720000000000001</v>
      </c>
    </row>
    <row r="90" spans="19:35">
      <c r="S90">
        <v>3.444</v>
      </c>
      <c r="T90">
        <v>3.6080000000000001</v>
      </c>
      <c r="U90">
        <v>3.4580000000000002</v>
      </c>
      <c r="V90">
        <v>3.694</v>
      </c>
      <c r="W90">
        <v>3.3860000000000001</v>
      </c>
      <c r="X90">
        <v>3.5089999999999999</v>
      </c>
      <c r="Y90">
        <v>4.3999999999999997E-2</v>
      </c>
      <c r="Z90">
        <v>3.5150000000000001</v>
      </c>
    </row>
    <row r="91" spans="19:35">
      <c r="S91">
        <v>0.43</v>
      </c>
      <c r="T91">
        <v>0.14000000000000001</v>
      </c>
      <c r="U91">
        <v>9.9000000000000005E-2</v>
      </c>
      <c r="V91">
        <v>0.08</v>
      </c>
      <c r="W91">
        <v>1.861</v>
      </c>
      <c r="X91">
        <v>0.496</v>
      </c>
      <c r="Y91">
        <v>0.26500000000000001</v>
      </c>
      <c r="Z91">
        <v>0.154</v>
      </c>
    </row>
    <row r="92" spans="19:35">
      <c r="S92">
        <v>0.44</v>
      </c>
      <c r="T92">
        <v>0.14599999999999999</v>
      </c>
      <c r="U92">
        <v>0.10199999999999999</v>
      </c>
      <c r="V92">
        <v>8.3000000000000004E-2</v>
      </c>
      <c r="W92">
        <v>1.887</v>
      </c>
      <c r="X92">
        <v>0.505</v>
      </c>
      <c r="Y92">
        <v>0.27100000000000002</v>
      </c>
      <c r="Z92">
        <v>0.157</v>
      </c>
    </row>
    <row r="93" spans="19:35">
      <c r="S93">
        <v>2.0979999999999999</v>
      </c>
      <c r="T93">
        <v>0.58199999999999996</v>
      </c>
      <c r="U93">
        <v>0.35699999999999998</v>
      </c>
      <c r="V93">
        <v>0.19400000000000001</v>
      </c>
      <c r="W93">
        <v>4.3999999999999997E-2</v>
      </c>
      <c r="X93">
        <v>4.4999999999999998E-2</v>
      </c>
      <c r="Y93">
        <v>4.4999999999999998E-2</v>
      </c>
      <c r="Z93">
        <v>5.1999999999999998E-2</v>
      </c>
    </row>
    <row r="94" spans="19:35">
      <c r="S94">
        <v>2.0310000000000001</v>
      </c>
      <c r="T94">
        <v>0.61799999999999999</v>
      </c>
      <c r="U94">
        <v>0.34899999999999998</v>
      </c>
      <c r="V94">
        <v>0.16600000000000001</v>
      </c>
      <c r="W94">
        <v>4.2999999999999997E-2</v>
      </c>
      <c r="X94">
        <v>4.2999999999999997E-2</v>
      </c>
      <c r="Y94">
        <v>4.2999999999999997E-2</v>
      </c>
      <c r="Z94">
        <v>4.3999999999999997E-2</v>
      </c>
    </row>
  </sheetData>
  <sortState xmlns:xlrd2="http://schemas.microsoft.com/office/spreadsheetml/2017/richdata2" columnSort="1" ref="S82:Z94">
    <sortCondition descending="1" ref="S82:Z82"/>
  </sortState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Microsoft Office User</cp:lastModifiedBy>
  <dcterms:created xsi:type="dcterms:W3CDTF">2011-01-18T20:51:17Z</dcterms:created>
  <dcterms:modified xsi:type="dcterms:W3CDTF">2024-12-05T16:45:57Z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