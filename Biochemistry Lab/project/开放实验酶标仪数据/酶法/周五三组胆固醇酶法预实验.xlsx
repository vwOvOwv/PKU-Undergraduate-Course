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89962416</definedName>
    <definedName name="MethodPointer2">406</definedName>
  </definedNames>
  <calcPr calcId="124519"/>
</workbook>
</file>

<file path=xl/calcChain.xml><?xml version="1.0" encoding="utf-8"?>
<calcChain xmlns="http://schemas.openxmlformats.org/spreadsheetml/2006/main">
  <c r="E35" i="1"/>
  <c r="E36"/>
  <c r="E37"/>
  <c r="E38"/>
  <c r="E39"/>
  <c r="E40"/>
  <c r="E41"/>
  <c r="E34"/>
  <c r="C35"/>
  <c r="C36"/>
  <c r="C37"/>
  <c r="C38"/>
  <c r="C39"/>
  <c r="C40"/>
  <c r="C41"/>
  <c r="C34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<sst xmlns="http://schemas.openxmlformats.org/spreadsheetml/2006/main" count="33" uniqueCount="33">
  <si>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</si>
  <si>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</si>
  <si>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</si>
  <si>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C:\Users\biochemistry lab\Desktop\</t>
    </r>
    <r>
      <rPr>
        <sz val="10"/>
        <rFont val="宋体"/>
        <family val="3"/>
        <charset val="134"/>
      </rPr>
      <t>周五三组酶法预实验</t>
    </r>
    <r>
      <rPr>
        <sz val="10"/>
        <rFont val="Arial"/>
        <family val="2"/>
      </rPr>
      <t>1129.xpt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</si>
  <si>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</si>
  <si>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</si>
  <si>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</si>
  <si>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</si>
  <si>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</si>
  <si>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</si>
  <si>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</si>
  <si>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</si>
  <si>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</si>
  <si>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</si>
  <si>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</si>
  <si>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</si>
  <si>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</si>
  <si>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</si>
  <si>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</si>
  <si>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</si>
  <si>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</si>
  <si>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500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</si>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</sst>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layout/>
    </c:title>
    <c:plotArea>
      <c:layout/>
      <c:scatterChart>
        <c:scatterStyle val="lineMarker"/>
        <c:ser>
          <c:idx val="2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Sheet1'!$B$39:$B$49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'板 1 - Sheet1'!$C$39:$C$49</c:f>
              <c:numCache>
                <c:formatCode>General</c:formatCode>
                <c:ptCount val="11"/>
                <c:pt idx="0">
                  <c:v>0.19950000000000001</c:v>
                </c:pt>
                <c:pt idx="1">
                  <c:v>0.39100000000000001</c:v>
                </c:pt>
                <c:pt idx="2">
                  <c:v>0.79099999999999993</c:v>
                </c:pt>
                <c:pt idx="3">
                  <c:v>0.95850000000000002</c:v>
                </c:pt>
                <c:pt idx="4">
                  <c:v>1.387</c:v>
                </c:pt>
                <c:pt idx="5">
                  <c:v>1.512</c:v>
                </c:pt>
                <c:pt idx="6">
                  <c:v>1.8980000000000001</c:v>
                </c:pt>
                <c:pt idx="7">
                  <c:v>2.2839999999999998</c:v>
                </c:pt>
                <c:pt idx="8">
                  <c:v>2.6074999999999999</c:v>
                </c:pt>
                <c:pt idx="9">
                  <c:v>2.8025000000000002</c:v>
                </c:pt>
                <c:pt idx="10">
                  <c:v>3.21</c:v>
                </c:pt>
              </c:numCache>
            </c:numRef>
          </c:yVal>
        </c:ser>
        <c:dLbls/>
        <c:axId val="139084544"/>
        <c:axId val="159857664"/>
      </c:scatterChart>
      <c:valAx>
        <c:axId val="139084544"/>
        <c:scaling>
          <c:orientation val="minMax"/>
        </c:scaling>
        <c:axPos val="b"/>
        <c:title>
          <c:layout/>
        </c:title>
        <c:numFmt formatCode="General" sourceLinked="1"/>
        <c:tickLblPos val="nextTo"/>
        <c:crossAx val="159857664"/>
        <c:crosses val="autoZero"/>
        <c:crossBetween val="midCat"/>
      </c:valAx>
      <c:valAx>
        <c:axId val="159857664"/>
        <c:scaling>
          <c:orientation val="minMax"/>
        </c:scaling>
        <c:axPos val="l"/>
        <c:majorGridlines/>
        <c:minorGridlines/>
        <c:title>
          <c:layout/>
        </c:title>
        <c:numFmt formatCode="General" sourceLinked="1"/>
        <c:tickLblPos val="nextTo"/>
        <c:crossAx val="13908454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409574</xdr:colOff>
      <xdr:row>13</xdr:row>
      <xdr:rowOff>95250</xdr:rowOff>
    </xdr:from>
    <xdr:to>
      <xdr:col>22</xdr:col>
      <xdr:colOff>609599</xdr:colOff>
      <xdr:row>42</xdr:row>
      <xdr:rowOff>66675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49"/>
  <sheetViews>
    <sheetView tabSelected="1" topLeftCell="A7" workbookViewId="0">
      <selection activeCell="F37" sqref="F37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45625</v>
      </c>
    </row>
    <row r="8" spans="1:2">
      <c r="A8" s="1" t="s">
        <v>8</v>
      </c>
      <c r="B8" s="3">
        <v>0.64752314814814815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24.9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7.0000000000000007E-2</v>
      </c>
      <c r="D25" s="8">
        <v>6.5000000000000002E-2</v>
      </c>
      <c r="E25" s="9">
        <v>0.93700000000000006</v>
      </c>
      <c r="F25" s="9">
        <v>0.98</v>
      </c>
      <c r="G25" s="10">
        <v>0.49099999999999999</v>
      </c>
      <c r="H25" s="10">
        <v>0.497</v>
      </c>
      <c r="I25" s="8">
        <v>-1E-3</v>
      </c>
      <c r="J25" s="8">
        <v>-1E-3</v>
      </c>
      <c r="K25" s="8">
        <v>-1E-3</v>
      </c>
      <c r="L25" s="8">
        <v>-1E-3</v>
      </c>
      <c r="M25" s="8">
        <v>-1E-3</v>
      </c>
      <c r="N25" s="8">
        <v>-1E-3</v>
      </c>
      <c r="O25" s="11">
        <v>500</v>
      </c>
    </row>
    <row r="26" spans="1:15">
      <c r="B26" s="7" t="s">
        <v>26</v>
      </c>
      <c r="C26" s="8">
        <v>6.7000000000000004E-2</v>
      </c>
      <c r="D26" s="8">
        <v>6.5000000000000002E-2</v>
      </c>
      <c r="E26" s="12">
        <v>1.3240000000000001</v>
      </c>
      <c r="F26" s="13">
        <v>1.45</v>
      </c>
      <c r="G26" s="8">
        <v>0.11600000000000001</v>
      </c>
      <c r="H26" s="8">
        <v>0.126</v>
      </c>
      <c r="I26" s="8">
        <v>-1E-3</v>
      </c>
      <c r="J26" s="8">
        <v>-1E-3</v>
      </c>
      <c r="K26" s="8">
        <v>-1E-3</v>
      </c>
      <c r="L26" s="8">
        <v>-1E-3</v>
      </c>
      <c r="M26" s="8">
        <v>-1E-3</v>
      </c>
      <c r="N26" s="8">
        <v>-1E-3</v>
      </c>
      <c r="O26" s="11">
        <v>500</v>
      </c>
    </row>
    <row r="27" spans="1:15">
      <c r="B27" s="7" t="s">
        <v>27</v>
      </c>
      <c r="C27" s="8">
        <v>7.6999999999999999E-2</v>
      </c>
      <c r="D27" s="8">
        <v>6.9000000000000006E-2</v>
      </c>
      <c r="E27" s="13">
        <v>1.514</v>
      </c>
      <c r="F27" s="13">
        <v>1.51</v>
      </c>
      <c r="G27" s="8">
        <v>6.3E-2</v>
      </c>
      <c r="H27" s="8">
        <v>6.9000000000000006E-2</v>
      </c>
      <c r="I27" s="8">
        <v>-1E-3</v>
      </c>
      <c r="J27" s="8">
        <v>-1E-3</v>
      </c>
      <c r="K27" s="8">
        <v>-1E-3</v>
      </c>
      <c r="L27" s="8">
        <v>-1E-3</v>
      </c>
      <c r="M27" s="8">
        <v>-1E-3</v>
      </c>
      <c r="N27" s="8">
        <v>-1E-3</v>
      </c>
      <c r="O27" s="11">
        <v>500</v>
      </c>
    </row>
    <row r="28" spans="1:15">
      <c r="B28" s="7" t="s">
        <v>28</v>
      </c>
      <c r="C28" s="8">
        <v>7.8E-2</v>
      </c>
      <c r="D28" s="8">
        <v>7.9000000000000001E-2</v>
      </c>
      <c r="E28" s="14">
        <v>2.0590000000000002</v>
      </c>
      <c r="F28" s="15">
        <v>1.7370000000000001</v>
      </c>
      <c r="G28" s="8">
        <v>6.3E-2</v>
      </c>
      <c r="H28" s="8">
        <v>7.0000000000000007E-2</v>
      </c>
      <c r="I28" s="8">
        <v>-1E-3</v>
      </c>
      <c r="J28" s="8">
        <v>-1E-3</v>
      </c>
      <c r="K28" s="8">
        <v>-1E-3</v>
      </c>
      <c r="L28" s="8">
        <v>-1E-3</v>
      </c>
      <c r="M28" s="8">
        <v>-1E-3</v>
      </c>
      <c r="N28" s="8">
        <v>-1E-3</v>
      </c>
      <c r="O28" s="11">
        <v>500</v>
      </c>
    </row>
    <row r="29" spans="1:15">
      <c r="B29" s="7" t="s">
        <v>29</v>
      </c>
      <c r="C29" s="8">
        <v>8.1000000000000003E-2</v>
      </c>
      <c r="D29" s="8">
        <v>7.9000000000000001E-2</v>
      </c>
      <c r="E29" s="16">
        <v>2.3450000000000002</v>
      </c>
      <c r="F29" s="17">
        <v>2.2229999999999999</v>
      </c>
      <c r="G29" s="8">
        <v>4.3999999999999997E-2</v>
      </c>
      <c r="H29" s="8">
        <v>5.0999999999999997E-2</v>
      </c>
      <c r="I29" s="8">
        <v>-1E-3</v>
      </c>
      <c r="J29" s="8">
        <v>-1E-3</v>
      </c>
      <c r="K29" s="8">
        <v>-1E-3</v>
      </c>
      <c r="L29" s="8">
        <v>-1E-3</v>
      </c>
      <c r="M29" s="8">
        <v>-1E-3</v>
      </c>
      <c r="N29" s="8">
        <v>-1E-3</v>
      </c>
      <c r="O29" s="11">
        <v>500</v>
      </c>
    </row>
    <row r="30" spans="1:15">
      <c r="B30" s="7" t="s">
        <v>30</v>
      </c>
      <c r="C30" s="8">
        <v>0.20499999999999999</v>
      </c>
      <c r="D30" s="8">
        <v>0.19400000000000001</v>
      </c>
      <c r="E30" s="18">
        <v>2.5720000000000001</v>
      </c>
      <c r="F30" s="18">
        <v>2.6429999999999998</v>
      </c>
      <c r="G30" s="8">
        <v>4.8000000000000001E-2</v>
      </c>
      <c r="H30" s="8">
        <v>5.1999999999999998E-2</v>
      </c>
      <c r="I30" s="8">
        <v>-1E-3</v>
      </c>
      <c r="J30" s="8">
        <v>-1E-3</v>
      </c>
      <c r="K30" s="8">
        <v>-1E-3</v>
      </c>
      <c r="L30" s="8">
        <v>-1E-3</v>
      </c>
      <c r="M30" s="8">
        <v>-1E-3</v>
      </c>
      <c r="N30" s="8">
        <v>-1E-3</v>
      </c>
      <c r="O30" s="11">
        <v>500</v>
      </c>
    </row>
    <row r="31" spans="1:15">
      <c r="B31" s="7" t="s">
        <v>31</v>
      </c>
      <c r="C31" s="19">
        <v>0.379</v>
      </c>
      <c r="D31" s="19">
        <v>0.40300000000000002</v>
      </c>
      <c r="E31" s="16">
        <v>2.508</v>
      </c>
      <c r="F31" s="20">
        <v>3.097</v>
      </c>
      <c r="G31" s="8">
        <v>4.5999999999999999E-2</v>
      </c>
      <c r="H31" s="8">
        <v>5.1999999999999998E-2</v>
      </c>
      <c r="I31" s="8">
        <v>-1E-3</v>
      </c>
      <c r="J31" s="8">
        <v>-1E-3</v>
      </c>
      <c r="K31" s="8">
        <v>-1E-3</v>
      </c>
      <c r="L31" s="8">
        <v>-1E-3</v>
      </c>
      <c r="M31" s="8">
        <v>-1E-3</v>
      </c>
      <c r="N31" s="8">
        <v>-1E-3</v>
      </c>
      <c r="O31" s="11">
        <v>500</v>
      </c>
    </row>
    <row r="32" spans="1:15">
      <c r="B32" s="7" t="s">
        <v>32</v>
      </c>
      <c r="C32" s="21">
        <v>0.871</v>
      </c>
      <c r="D32" s="21">
        <v>0.71099999999999997</v>
      </c>
      <c r="E32" s="20">
        <v>3.2410000000000001</v>
      </c>
      <c r="F32" s="20">
        <v>3.1789999999999998</v>
      </c>
      <c r="G32" s="8">
        <v>4.5999999999999999E-2</v>
      </c>
      <c r="H32" s="8">
        <v>5.1999999999999998E-2</v>
      </c>
      <c r="I32" s="8">
        <v>-1E-3</v>
      </c>
      <c r="J32" s="8">
        <v>-1E-3</v>
      </c>
      <c r="K32" s="8">
        <v>-1E-3</v>
      </c>
      <c r="L32" s="8">
        <v>-1E-3</v>
      </c>
      <c r="M32" s="8">
        <v>-1E-3</v>
      </c>
      <c r="N32" s="8">
        <v>-1E-3</v>
      </c>
      <c r="O32" s="11">
        <v>500</v>
      </c>
    </row>
    <row r="34" spans="2:5">
      <c r="B34">
        <v>0</v>
      </c>
      <c r="C34">
        <f>AVERAGE(C25:D25)</f>
        <v>6.7500000000000004E-2</v>
      </c>
      <c r="D34">
        <v>6</v>
      </c>
      <c r="E34">
        <f>AVERAGE(E25:F25)</f>
        <v>0.95850000000000002</v>
      </c>
    </row>
    <row r="35" spans="2:5">
      <c r="C35">
        <f t="shared" ref="C35:C43" si="0">AVERAGE(C26:D26)</f>
        <v>6.6000000000000003E-2</v>
      </c>
      <c r="D35">
        <v>8</v>
      </c>
      <c r="E35">
        <f t="shared" ref="C35:E49" si="1">AVERAGE(E26:F26)</f>
        <v>1.387</v>
      </c>
    </row>
    <row r="36" spans="2:5">
      <c r="C36">
        <f t="shared" si="0"/>
        <v>7.3000000000000009E-2</v>
      </c>
      <c r="D36">
        <v>10</v>
      </c>
      <c r="E36">
        <f t="shared" si="1"/>
        <v>1.512</v>
      </c>
    </row>
    <row r="37" spans="2:5">
      <c r="C37">
        <f t="shared" si="0"/>
        <v>7.85E-2</v>
      </c>
      <c r="D37">
        <v>12</v>
      </c>
      <c r="E37">
        <f t="shared" si="1"/>
        <v>1.8980000000000001</v>
      </c>
    </row>
    <row r="38" spans="2:5">
      <c r="C38">
        <f t="shared" si="0"/>
        <v>0.08</v>
      </c>
      <c r="D38">
        <v>14</v>
      </c>
      <c r="E38">
        <f t="shared" si="1"/>
        <v>2.2839999999999998</v>
      </c>
    </row>
    <row r="39" spans="2:5">
      <c r="B39">
        <v>1</v>
      </c>
      <c r="C39">
        <f t="shared" si="0"/>
        <v>0.19950000000000001</v>
      </c>
      <c r="D39">
        <v>16</v>
      </c>
      <c r="E39">
        <f t="shared" si="1"/>
        <v>2.6074999999999999</v>
      </c>
    </row>
    <row r="40" spans="2:5">
      <c r="B40">
        <v>2</v>
      </c>
      <c r="C40">
        <f t="shared" si="0"/>
        <v>0.39100000000000001</v>
      </c>
      <c r="D40">
        <v>18</v>
      </c>
      <c r="E40">
        <f t="shared" si="1"/>
        <v>2.8025000000000002</v>
      </c>
    </row>
    <row r="41" spans="2:5">
      <c r="B41">
        <v>4</v>
      </c>
      <c r="C41">
        <f t="shared" si="0"/>
        <v>0.79099999999999993</v>
      </c>
      <c r="D41">
        <v>20</v>
      </c>
      <c r="E41">
        <f t="shared" si="1"/>
        <v>3.21</v>
      </c>
    </row>
    <row r="42" spans="2:5">
      <c r="B42">
        <v>6</v>
      </c>
      <c r="C42">
        <v>0.95850000000000002</v>
      </c>
    </row>
    <row r="43" spans="2:5">
      <c r="B43">
        <v>8</v>
      </c>
      <c r="C43">
        <v>1.387</v>
      </c>
    </row>
    <row r="44" spans="2:5">
      <c r="B44">
        <v>10</v>
      </c>
      <c r="C44">
        <v>1.512</v>
      </c>
    </row>
    <row r="45" spans="2:5">
      <c r="B45">
        <v>12</v>
      </c>
      <c r="C45">
        <v>1.8980000000000001</v>
      </c>
    </row>
    <row r="46" spans="2:5">
      <c r="B46">
        <v>14</v>
      </c>
      <c r="C46">
        <v>2.2839999999999998</v>
      </c>
    </row>
    <row r="47" spans="2:5">
      <c r="B47">
        <v>16</v>
      </c>
      <c r="C47">
        <v>2.6074999999999999</v>
      </c>
    </row>
    <row r="48" spans="2:5">
      <c r="B48">
        <v>18</v>
      </c>
      <c r="C48">
        <v>2.8025000000000002</v>
      </c>
    </row>
    <row r="49" spans="2:3">
      <c r="B49">
        <v>20</v>
      </c>
      <c r="C49">
        <v>3.21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2024-11-29T07:57:27Z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