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Week 6/实验数据/24秋-周五班/"/>
    </mc:Choice>
  </mc:AlternateContent>
  <xr:revisionPtr revIDLastSave="0" documentId="13_ncr:1_{D2A9CA4B-D794-CA42-9A72-55A5E7E1A64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1 - Sheet1" sheetId="1" r:id="rId1"/>
  </sheets>
  <definedNames>
    <definedName name="MethodPointer1">-2145561504</definedName>
    <definedName name="MethodPointer2">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7" i="1" l="1"/>
  <c r="R38" i="1"/>
  <c r="R39" i="1"/>
  <c r="S38" i="1"/>
  <c r="S39" i="1"/>
  <c r="S37" i="1"/>
  <c r="R31" i="1"/>
  <c r="R29" i="1"/>
  <c r="R30" i="1"/>
  <c r="R32" i="1"/>
  <c r="R27" i="1"/>
  <c r="Q27" i="1"/>
  <c r="Q29" i="1"/>
  <c r="Q30" i="1"/>
  <c r="Q31" i="1"/>
  <c r="Q32" i="1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<sst xmlns="http://schemas.openxmlformats.org/spreadsheetml/2006/main" count="33" uniqueCount="33">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</sst>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407222657377251E-2"/>
                  <c:y val="0.237854083320374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11 - Sheet1'!$P$27:$P$32</c:f>
              <c:numCache>
                <c:formatCode>General</c:formatCode>
                <c:ptCount val="6"/>
                <c:pt idx="0">
                  <c:v>4</c:v>
                </c:pt>
                <c:pt idx="1">
                  <c:v>3.2</c:v>
                </c:pt>
                <c:pt idx="2">
                  <c:v>2.4</c:v>
                </c:pt>
                <c:pt idx="3">
                  <c:v>1.6</c:v>
                </c:pt>
                <c:pt idx="4">
                  <c:v>0.8</c:v>
                </c:pt>
                <c:pt idx="5">
                  <c:v>0</c:v>
                </c:pt>
              </c:numCache>
            </c:numRef>
          </c:xVal>
          <c:yVal>
            <c:numRef>
              <c:f>'板 11 - Sheet1'!$R$27:$R$32</c:f>
              <c:numCache>
                <c:formatCode>General</c:formatCode>
                <c:ptCount val="6"/>
                <c:pt idx="0">
                  <c:v>0.76500000000000001</c:v>
                </c:pt>
                <c:pt idx="2">
                  <c:v>0.58199999999999996</c:v>
                </c:pt>
                <c:pt idx="3">
                  <c:v>0.38550000000000006</c:v>
                </c:pt>
                <c:pt idx="4">
                  <c:v>0.17049999999999998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7-CC48-A8A3-C8635CD9A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767568"/>
        <c:axId val="670002112"/>
      </c:scatterChart>
      <c:valAx>
        <c:axId val="1264767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蛋白质含量</a:t>
                </a:r>
                <a:r>
                  <a:rPr lang="zh-CN" altLang="en-US"/>
                  <a:t> </a:t>
                </a:r>
                <a:r>
                  <a:rPr lang="en-US" altLang="zh-CN"/>
                  <a:t>/</a:t>
                </a:r>
                <a:r>
                  <a:rPr lang="zh-CN" altLang="en-US"/>
                  <a:t> </a:t>
                </a:r>
                <a:r>
                  <a:rPr lang="el-GR" altLang="zh-CN" baseline="0"/>
                  <a:t>μ</a:t>
                </a:r>
                <a:r>
                  <a:rPr lang="en-US" altLang="zh-CN" baseline="0"/>
                  <a:t>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70002112"/>
        <c:crosses val="autoZero"/>
        <c:crossBetween val="midCat"/>
        <c:majorUnit val="0.8"/>
      </c:valAx>
      <c:valAx>
        <c:axId val="67000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吸光值 A</a:t>
                </a:r>
                <a:r>
                  <a:rPr lang="en-US" altLang="zh-CN" sz="800"/>
                  <a:t>595nm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6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4</xdr:row>
      <xdr:rowOff>12700</xdr:rowOff>
    </xdr:from>
    <xdr:to>
      <xdr:col>23</xdr:col>
      <xdr:colOff>177800</xdr:colOff>
      <xdr:row>24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421EBD-7BDB-CF4D-8324-9E977D46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9"/>
  <sheetViews>
    <sheetView tabSelected="1" workbookViewId="0">
      <selection activeCell="H27" sqref="H27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</row>
    <row r="5" spans="1:2" ht="14">
      <c r="A5" s="1" t="s">
        <v>3</v>
      </c>
      <c r="B5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45583</v>
      </c>
    </row>
    <row r="8" spans="1:2" ht="14">
      <c r="A8" s="1" t="s">
        <v>8</v>
      </c>
      <c r="B8" s="3">
        <v>0.70017361111111109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18" ht="14">
      <c r="B17" s="1" t="s">
        <v>20</v>
      </c>
    </row>
    <row r="18" spans="1:18" ht="14">
      <c r="B18" s="1" t="s">
        <v>21</v>
      </c>
    </row>
    <row r="19" spans="1:18" ht="14">
      <c r="B19" s="1" t="s">
        <v>22</v>
      </c>
    </row>
    <row r="21" spans="1:18" ht="14">
      <c r="A21" s="4" t="s">
        <v>23</v>
      </c>
      <c r="B21" s="5"/>
    </row>
    <row r="22" spans="1:18" ht="14">
      <c r="A22" s="1" t="s">
        <v>24</v>
      </c>
      <c r="B22">
        <v>24.2</v>
      </c>
    </row>
    <row r="24" spans="1:18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8" ht="14">
      <c r="B25" s="7" t="s">
        <v>25</v>
      </c>
      <c r="C25" s="8">
        <v>0</v>
      </c>
      <c r="D25" s="8">
        <v>0</v>
      </c>
      <c r="E25" s="8">
        <v>4.5999999999999999E-2</v>
      </c>
      <c r="F25" s="8">
        <v>3.9E-2</v>
      </c>
      <c r="G25" s="8">
        <v>3.9E-2</v>
      </c>
      <c r="H25" s="9">
        <v>0.33800000000000002</v>
      </c>
      <c r="I25" s="8">
        <v>5.5E-2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0">
        <v>595</v>
      </c>
    </row>
    <row r="26" spans="1:18" ht="14">
      <c r="B26" s="7" t="s">
        <v>26</v>
      </c>
      <c r="C26" s="8">
        <v>0</v>
      </c>
      <c r="D26" s="8">
        <v>0</v>
      </c>
      <c r="E26" s="11">
        <v>0.92400000000000004</v>
      </c>
      <c r="F26" s="12">
        <v>1.571</v>
      </c>
      <c r="G26" s="13">
        <v>0.72399999999999998</v>
      </c>
      <c r="H26" s="14">
        <v>1.708</v>
      </c>
      <c r="I26" s="8">
        <v>4.9000000000000002E-2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0">
        <v>595</v>
      </c>
    </row>
    <row r="27" spans="1:18" ht="14">
      <c r="B27" s="7" t="s">
        <v>27</v>
      </c>
      <c r="C27" s="8">
        <v>0</v>
      </c>
      <c r="D27" s="8">
        <v>0</v>
      </c>
      <c r="E27" s="15">
        <v>1.258</v>
      </c>
      <c r="F27" s="16">
        <v>1.1930000000000001</v>
      </c>
      <c r="G27" s="17">
        <v>0.52900000000000003</v>
      </c>
      <c r="H27" s="13">
        <v>0.69099999999999995</v>
      </c>
      <c r="I27" s="18">
        <v>1.859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10">
        <v>595</v>
      </c>
      <c r="P27" s="22">
        <v>4</v>
      </c>
      <c r="Q27">
        <f>(E27 +F27)/2</f>
        <v>1.2255</v>
      </c>
      <c r="R27">
        <f>Q27 - 0.4605</f>
        <v>0.76500000000000001</v>
      </c>
    </row>
    <row r="28" spans="1:18" ht="14">
      <c r="B28" s="7" t="s">
        <v>28</v>
      </c>
      <c r="C28" s="8">
        <v>0</v>
      </c>
      <c r="D28" s="8">
        <v>0</v>
      </c>
      <c r="E28" s="11">
        <v>0.80100000000000005</v>
      </c>
      <c r="F28" s="13">
        <v>0.748</v>
      </c>
      <c r="G28" s="19">
        <v>0.58799999999999997</v>
      </c>
      <c r="H28" s="19">
        <v>0.58799999999999997</v>
      </c>
      <c r="I28" s="18">
        <v>1.81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0">
        <v>595</v>
      </c>
      <c r="P28" s="22">
        <v>3.2</v>
      </c>
    </row>
    <row r="29" spans="1:18" ht="14">
      <c r="B29" s="7" t="s">
        <v>29</v>
      </c>
      <c r="C29" s="8">
        <v>0</v>
      </c>
      <c r="D29" s="8">
        <v>0</v>
      </c>
      <c r="E29" s="20">
        <v>1.008</v>
      </c>
      <c r="F29" s="16">
        <v>1.077</v>
      </c>
      <c r="G29" s="13">
        <v>0.67600000000000005</v>
      </c>
      <c r="H29" s="13">
        <v>0.69799999999999995</v>
      </c>
      <c r="I29" s="15">
        <v>1.21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10">
        <v>595</v>
      </c>
      <c r="P29" s="22">
        <v>2.4</v>
      </c>
      <c r="Q29">
        <f>(E29 +F29)/2</f>
        <v>1.0425</v>
      </c>
      <c r="R29">
        <f t="shared" ref="R28:R32" si="0">Q29 - 0.4605</f>
        <v>0.58199999999999996</v>
      </c>
    </row>
    <row r="30" spans="1:18" ht="14">
      <c r="B30" s="7" t="s">
        <v>30</v>
      </c>
      <c r="C30" s="8">
        <v>0</v>
      </c>
      <c r="D30" s="8">
        <v>0</v>
      </c>
      <c r="E30" s="13">
        <v>0.79500000000000004</v>
      </c>
      <c r="F30" s="11">
        <v>0.89700000000000002</v>
      </c>
      <c r="G30" s="13">
        <v>0.76900000000000002</v>
      </c>
      <c r="H30" s="11">
        <v>0.92</v>
      </c>
      <c r="I30" s="16">
        <v>1.159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10">
        <v>595</v>
      </c>
      <c r="P30" s="22">
        <v>1.6</v>
      </c>
      <c r="Q30">
        <f>(E30 +F30)/2</f>
        <v>0.84600000000000009</v>
      </c>
      <c r="R30">
        <f t="shared" si="0"/>
        <v>0.38550000000000006</v>
      </c>
    </row>
    <row r="31" spans="1:18" ht="14">
      <c r="B31" s="7" t="s">
        <v>31</v>
      </c>
      <c r="C31" s="8">
        <v>0</v>
      </c>
      <c r="D31" s="8">
        <v>0</v>
      </c>
      <c r="E31" s="19">
        <v>0.622</v>
      </c>
      <c r="F31" s="19">
        <v>0.64</v>
      </c>
      <c r="G31" s="13">
        <v>0.749</v>
      </c>
      <c r="H31" s="13">
        <v>0.68899999999999995</v>
      </c>
      <c r="I31" s="15">
        <v>1.3080000000000001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10">
        <v>595</v>
      </c>
      <c r="P31" s="22">
        <v>0.8</v>
      </c>
      <c r="Q31">
        <f>(E31 +F31)/2</f>
        <v>0.63100000000000001</v>
      </c>
      <c r="R31">
        <f t="shared" si="0"/>
        <v>0.17049999999999998</v>
      </c>
    </row>
    <row r="32" spans="1:18" ht="14">
      <c r="B32" s="7" t="s">
        <v>32</v>
      </c>
      <c r="C32" s="8">
        <v>0</v>
      </c>
      <c r="D32" s="8">
        <v>0</v>
      </c>
      <c r="E32" s="17">
        <v>0.45700000000000002</v>
      </c>
      <c r="F32" s="17">
        <v>0.46400000000000002</v>
      </c>
      <c r="G32" s="20">
        <v>0.98399999999999999</v>
      </c>
      <c r="H32" s="11">
        <v>0.92400000000000004</v>
      </c>
      <c r="I32" s="21">
        <v>1.389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10">
        <v>595</v>
      </c>
      <c r="P32" s="22">
        <v>0</v>
      </c>
      <c r="Q32">
        <f>(E32 +F32)/2</f>
        <v>0.46050000000000002</v>
      </c>
      <c r="R32">
        <f t="shared" si="0"/>
        <v>0</v>
      </c>
    </row>
    <row r="35" spans="18:21">
      <c r="S35">
        <v>0.98399999999999999</v>
      </c>
      <c r="T35">
        <v>0.749</v>
      </c>
      <c r="U35">
        <v>0.76900000000000002</v>
      </c>
    </row>
    <row r="36" spans="18:21">
      <c r="S36">
        <v>0.92400000000000004</v>
      </c>
      <c r="T36">
        <v>0.68899999999999995</v>
      </c>
      <c r="U36">
        <v>0.92</v>
      </c>
    </row>
    <row r="37" spans="18:21">
      <c r="R37">
        <f>(S37 - 0.4605 - 0.0349)/0.1964</f>
        <v>2.3350305498981667</v>
      </c>
      <c r="S37">
        <f>(S35+S36)/2</f>
        <v>0.95399999999999996</v>
      </c>
    </row>
    <row r="38" spans="18:21">
      <c r="R38">
        <f t="shared" ref="R38:R39" si="1">(S38 - 0.4605 - 0.0349)/0.1964</f>
        <v>1.1384928716904277</v>
      </c>
      <c r="S38">
        <f>(T35+T36)/2</f>
        <v>0.71899999999999997</v>
      </c>
    </row>
    <row r="39" spans="18:21">
      <c r="R39">
        <f t="shared" si="1"/>
        <v>1.7774949083503058</v>
      </c>
      <c r="S39">
        <f>(U35+U36)/2</f>
        <v>0.84450000000000003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2024-10-24T17:06:28Z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