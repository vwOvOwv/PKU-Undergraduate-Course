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生物化学实验(Biochemistry Lab)/Week 8/实验报告/"/>
    </mc:Choice>
  </mc:AlternateContent>
  <xr:revisionPtr revIDLastSave="0" documentId="13_ncr:1_{E1F6BF34-08A7-C944-AFD1-C27BC09F1FE7}" xr6:coauthVersionLast="47" xr6:coauthVersionMax="47" xr10:uidLastSave="{00000000-0000-0000-0000-000000000000}"/>
  <bookViews>
    <workbookView xWindow="0" yWindow="760" windowWidth="30240" windowHeight="17760" xr2:uid="{14AFD0F3-D03E-8D42-8E11-574D8C5C3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3" i="1" l="1"/>
  <c r="C42" i="1"/>
  <c r="C40" i="1"/>
  <c r="C39" i="1"/>
  <c r="D40" i="1"/>
  <c r="D39" i="1"/>
  <c r="D38" i="1"/>
  <c r="C38" i="1"/>
  <c r="D37" i="1"/>
  <c r="C37" i="1"/>
  <c r="D36" i="1"/>
  <c r="C36" i="1"/>
  <c r="D35" i="1"/>
  <c r="C35" i="1"/>
  <c r="D34" i="1"/>
  <c r="C34" i="1"/>
  <c r="C20" i="1"/>
  <c r="D21" i="1" s="1"/>
  <c r="D18" i="1"/>
  <c r="D17" i="1"/>
  <c r="D16" i="1"/>
  <c r="D15" i="1"/>
  <c r="D14" i="1"/>
  <c r="D13" i="1"/>
  <c r="D12" i="1"/>
  <c r="C13" i="1"/>
  <c r="C14" i="1"/>
  <c r="C15" i="1"/>
  <c r="C16" i="1"/>
  <c r="C17" i="1"/>
  <c r="C18" i="1"/>
  <c r="C12" i="1"/>
  <c r="C8" i="1"/>
  <c r="D9" i="1" s="1"/>
  <c r="D2" i="1"/>
  <c r="D3" i="1"/>
  <c r="D4" i="1"/>
  <c r="D5" i="1"/>
  <c r="D6" i="1"/>
  <c r="D7" i="1"/>
  <c r="D1" i="1"/>
  <c r="C2" i="1"/>
  <c r="C3" i="1"/>
  <c r="C4" i="1"/>
  <c r="C5" i="1"/>
  <c r="C6" i="1"/>
  <c r="C7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2338278157219298E-2"/>
                  <c:y val="6.71770195392242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Sheet1!$C$1:$C$7</c:f>
              <c:numCache>
                <c:formatCode>General</c:formatCode>
                <c:ptCount val="7"/>
                <c:pt idx="0">
                  <c:v>6.3407800634078013E-2</c:v>
                </c:pt>
                <c:pt idx="1">
                  <c:v>0.15151515151515152</c:v>
                </c:pt>
                <c:pt idx="2">
                  <c:v>0.21521787215217875</c:v>
                </c:pt>
                <c:pt idx="3">
                  <c:v>0.27361203273612034</c:v>
                </c:pt>
                <c:pt idx="4">
                  <c:v>0.35139718351397181</c:v>
                </c:pt>
                <c:pt idx="5">
                  <c:v>0.53609083536090829</c:v>
                </c:pt>
                <c:pt idx="6">
                  <c:v>0.75565877755658772</c:v>
                </c:pt>
              </c:numCache>
            </c:numRef>
          </c:xVal>
          <c:yVal>
            <c:numRef>
              <c:f>Sheet1!$D$1:$D$7</c:f>
              <c:numCache>
                <c:formatCode>General</c:formatCode>
                <c:ptCount val="7"/>
                <c:pt idx="0">
                  <c:v>2.0791812460476247</c:v>
                </c:pt>
                <c:pt idx="1">
                  <c:v>1.8450980400142569</c:v>
                </c:pt>
                <c:pt idx="2">
                  <c:v>1.7403626894942439</c:v>
                </c:pt>
                <c:pt idx="3">
                  <c:v>1.6532125137753435</c:v>
                </c:pt>
                <c:pt idx="4">
                  <c:v>1.5440680443502754</c:v>
                </c:pt>
                <c:pt idx="5">
                  <c:v>1.3979400086720375</c:v>
                </c:pt>
                <c:pt idx="6">
                  <c:v>1.1760912590556811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FF-7A4F-8478-18F9D99C2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451056"/>
        <c:axId val="1147543904"/>
      </c:scatterChart>
      <c:valAx>
        <c:axId val="839451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</a:t>
                </a:r>
                <a:r>
                  <a:rPr lang="en-US" sz="700"/>
                  <a:t>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47543904"/>
        <c:crosses val="autoZero"/>
        <c:crossBetween val="midCat"/>
      </c:valAx>
      <c:valAx>
        <c:axId val="1147543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sz="700"/>
                  <a:t>10</a:t>
                </a:r>
                <a:r>
                  <a:rPr lang="en-US" sz="1000"/>
                  <a:t>(M</a:t>
                </a:r>
                <a:r>
                  <a:rPr lang="en-US" sz="700"/>
                  <a:t>r</a:t>
                </a:r>
                <a:r>
                  <a:rPr lang="en-US" sz="100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83945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Sheet1!$C$12:$C$18</c:f>
              <c:numCache>
                <c:formatCode>General</c:formatCode>
                <c:ptCount val="7"/>
                <c:pt idx="0">
                  <c:v>4.4786814761734142E-2</c:v>
                </c:pt>
                <c:pt idx="1">
                  <c:v>0.11869950647819605</c:v>
                </c:pt>
                <c:pt idx="2">
                  <c:v>0.17131101119959316</c:v>
                </c:pt>
                <c:pt idx="3">
                  <c:v>0.21683753077287596</c:v>
                </c:pt>
                <c:pt idx="4">
                  <c:v>0.28359589001514085</c:v>
                </c:pt>
                <c:pt idx="5">
                  <c:v>0.43563990245142797</c:v>
                </c:pt>
                <c:pt idx="6">
                  <c:v>0.61386253048392869</c:v>
                </c:pt>
              </c:numCache>
            </c:numRef>
          </c:xVal>
          <c:yVal>
            <c:numRef>
              <c:f>Sheet1!$D$12:$D$18</c:f>
              <c:numCache>
                <c:formatCode>General</c:formatCode>
                <c:ptCount val="7"/>
                <c:pt idx="0">
                  <c:v>2.0791812460476247</c:v>
                </c:pt>
                <c:pt idx="1">
                  <c:v>1.8450980400142569</c:v>
                </c:pt>
                <c:pt idx="2">
                  <c:v>1.7403626894942439</c:v>
                </c:pt>
                <c:pt idx="3">
                  <c:v>1.6532125137753435</c:v>
                </c:pt>
                <c:pt idx="4">
                  <c:v>1.5440680443502754</c:v>
                </c:pt>
                <c:pt idx="5">
                  <c:v>1.3979400086720375</c:v>
                </c:pt>
                <c:pt idx="6">
                  <c:v>1.1760912590556811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6B-BE40-9F0F-514E3F2A5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852832"/>
        <c:axId val="1138833968"/>
      </c:scatterChart>
      <c:valAx>
        <c:axId val="113885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38833968"/>
        <c:crosses val="autoZero"/>
        <c:crossBetween val="midCat"/>
      </c:valAx>
      <c:valAx>
        <c:axId val="113883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3885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Sheet1!$C$34:$C$40</c:f>
              <c:numCache>
                <c:formatCode>General</c:formatCode>
                <c:ptCount val="7"/>
                <c:pt idx="0">
                  <c:v>6.0207747361385733E-2</c:v>
                </c:pt>
                <c:pt idx="1">
                  <c:v>0.14664847252777855</c:v>
                </c:pt>
                <c:pt idx="2">
                  <c:v>0.21195243532262109</c:v>
                </c:pt>
                <c:pt idx="3">
                  <c:v>0.26695257456347993</c:v>
                </c:pt>
                <c:pt idx="4">
                  <c:v>0.34371606004065836</c:v>
                </c:pt>
                <c:pt idx="5">
                  <c:v>0.52627475006265845</c:v>
                </c:pt>
                <c:pt idx="6">
                  <c:v>0.74429808683059961</c:v>
                </c:pt>
              </c:numCache>
            </c:numRef>
          </c:xVal>
          <c:yVal>
            <c:numRef>
              <c:f>Sheet1!$D$34:$D$40</c:f>
              <c:numCache>
                <c:formatCode>General</c:formatCode>
                <c:ptCount val="7"/>
                <c:pt idx="0">
                  <c:v>2.0791812460476247</c:v>
                </c:pt>
                <c:pt idx="1">
                  <c:v>1.8450980400142569</c:v>
                </c:pt>
                <c:pt idx="2">
                  <c:v>1.7403626894942439</c:v>
                </c:pt>
                <c:pt idx="3">
                  <c:v>1.6532125137753435</c:v>
                </c:pt>
                <c:pt idx="4">
                  <c:v>1.5440680443502754</c:v>
                </c:pt>
                <c:pt idx="5">
                  <c:v>1.3979400086720375</c:v>
                </c:pt>
                <c:pt idx="6">
                  <c:v>1.1760912590556811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A9-194E-88BC-C2BED1E77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589888"/>
        <c:axId val="532642928"/>
      </c:scatterChart>
      <c:valAx>
        <c:axId val="53258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32642928"/>
        <c:crosses val="autoZero"/>
        <c:crossBetween val="midCat"/>
      </c:valAx>
      <c:valAx>
        <c:axId val="53264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3258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14</xdr:row>
      <xdr:rowOff>44450</xdr:rowOff>
    </xdr:from>
    <xdr:to>
      <xdr:col>14</xdr:col>
      <xdr:colOff>184150</xdr:colOff>
      <xdr:row>27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E078A-C1F3-8649-9290-17CC84718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740383</xdr:colOff>
      <xdr:row>18</xdr:row>
      <xdr:rowOff>6485</xdr:rowOff>
    </xdr:from>
    <xdr:to>
      <xdr:col>10</xdr:col>
      <xdr:colOff>340468</xdr:colOff>
      <xdr:row>31</xdr:row>
      <xdr:rowOff>56564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3BFA05-406E-C34C-950B-079BEBCD6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344071</xdr:colOff>
      <xdr:row>32</xdr:row>
      <xdr:rowOff>141592</xdr:rowOff>
    </xdr:from>
    <xdr:to>
      <xdr:col>10</xdr:col>
      <xdr:colOff>772808</xdr:colOff>
      <xdr:row>45</xdr:row>
      <xdr:rowOff>191672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8F36E1-6733-804C-855B-E8BE08464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2213-1A35-A147-ACB7-7AEB26F1CA79}">
  <dimension ref="A1:E43"/>
  <sheetViews>
    <sheetView tabSelected="1" topLeftCell="A11" zoomScale="141" workbookViewId="0">
      <selection activeCell="M30" sqref="M30"/>
    </sheetView>
  </sheetViews>
  <sheetFormatPr baseColWidth="10" defaultRowHeight="16" x14ac:dyDescent="0.2"/>
  <sheetData>
    <row r="1" spans="1:5" x14ac:dyDescent="0.2">
      <c r="A1">
        <v>8.6</v>
      </c>
      <c r="B1">
        <v>135.63</v>
      </c>
      <c r="C1">
        <f>A1/B1</f>
        <v>6.3407800634078013E-2</v>
      </c>
      <c r="D1">
        <f>LOG(E1, 10)</f>
        <v>2.0791812460476247</v>
      </c>
      <c r="E1">
        <v>120</v>
      </c>
    </row>
    <row r="2" spans="1:5" x14ac:dyDescent="0.2">
      <c r="A2">
        <v>20.55</v>
      </c>
      <c r="B2">
        <v>135.63</v>
      </c>
      <c r="C2">
        <f t="shared" ref="C2:C7" si="0">A2/B2</f>
        <v>0.15151515151515152</v>
      </c>
      <c r="D2">
        <f t="shared" ref="D2:D7" si="1">LOG(E2, 10)</f>
        <v>1.8450980400142569</v>
      </c>
      <c r="E2">
        <v>70</v>
      </c>
    </row>
    <row r="3" spans="1:5" x14ac:dyDescent="0.2">
      <c r="A3">
        <v>29.19</v>
      </c>
      <c r="B3">
        <v>135.63</v>
      </c>
      <c r="C3">
        <f t="shared" si="0"/>
        <v>0.21521787215217875</v>
      </c>
      <c r="D3">
        <f t="shared" si="1"/>
        <v>1.7403626894942439</v>
      </c>
      <c r="E3">
        <v>55</v>
      </c>
    </row>
    <row r="4" spans="1:5" x14ac:dyDescent="0.2">
      <c r="A4">
        <v>37.11</v>
      </c>
      <c r="B4">
        <v>135.63</v>
      </c>
      <c r="C4">
        <f t="shared" si="0"/>
        <v>0.27361203273612034</v>
      </c>
      <c r="D4">
        <f t="shared" si="1"/>
        <v>1.6532125137753435</v>
      </c>
      <c r="E4">
        <v>45</v>
      </c>
    </row>
    <row r="5" spans="1:5" x14ac:dyDescent="0.2">
      <c r="A5">
        <v>47.66</v>
      </c>
      <c r="B5">
        <v>135.63</v>
      </c>
      <c r="C5">
        <f t="shared" si="0"/>
        <v>0.35139718351397181</v>
      </c>
      <c r="D5">
        <f t="shared" si="1"/>
        <v>1.5440680443502754</v>
      </c>
      <c r="E5">
        <v>35</v>
      </c>
    </row>
    <row r="6" spans="1:5" x14ac:dyDescent="0.2">
      <c r="A6">
        <v>72.709999999999994</v>
      </c>
      <c r="B6">
        <v>135.63</v>
      </c>
      <c r="C6">
        <f t="shared" si="0"/>
        <v>0.53609083536090829</v>
      </c>
      <c r="D6">
        <f t="shared" si="1"/>
        <v>1.3979400086720375</v>
      </c>
      <c r="E6">
        <v>25</v>
      </c>
    </row>
    <row r="7" spans="1:5" x14ac:dyDescent="0.2">
      <c r="A7">
        <v>102.49</v>
      </c>
      <c r="B7">
        <v>135.63</v>
      </c>
      <c r="C7">
        <f t="shared" si="0"/>
        <v>0.75565877755658772</v>
      </c>
      <c r="D7">
        <f t="shared" si="1"/>
        <v>1.1760912590556811</v>
      </c>
      <c r="E7">
        <v>15</v>
      </c>
    </row>
    <row r="8" spans="1:5" x14ac:dyDescent="0.2">
      <c r="A8">
        <v>60.28</v>
      </c>
      <c r="B8">
        <v>135.63</v>
      </c>
      <c r="C8">
        <f>A8/B8</f>
        <v>0.44444444444444448</v>
      </c>
    </row>
    <row r="9" spans="1:5" x14ac:dyDescent="0.2">
      <c r="D9">
        <f>10^(-1.2096 * C8+2.0392)</f>
        <v>31.739494085622287</v>
      </c>
    </row>
    <row r="12" spans="1:5" x14ac:dyDescent="0.2">
      <c r="A12">
        <v>38.75</v>
      </c>
      <c r="B12">
        <v>865.21</v>
      </c>
      <c r="C12">
        <f>A12/B12</f>
        <v>4.4786814761734142E-2</v>
      </c>
      <c r="D12">
        <f>LOG(E12, 10)</f>
        <v>2.0791812460476247</v>
      </c>
      <c r="E12">
        <v>120</v>
      </c>
    </row>
    <row r="13" spans="1:5" x14ac:dyDescent="0.2">
      <c r="A13">
        <v>102.7</v>
      </c>
      <c r="B13">
        <v>865.21</v>
      </c>
      <c r="C13">
        <f t="shared" ref="C13:C18" si="2">A13/B13</f>
        <v>0.11869950647819605</v>
      </c>
      <c r="D13">
        <f t="shared" ref="D13:D18" si="3">LOG(E13, 10)</f>
        <v>1.8450980400142569</v>
      </c>
      <c r="E13">
        <v>70</v>
      </c>
    </row>
    <row r="14" spans="1:5" x14ac:dyDescent="0.2">
      <c r="A14">
        <v>148.22</v>
      </c>
      <c r="B14">
        <v>865.21</v>
      </c>
      <c r="C14">
        <f t="shared" si="2"/>
        <v>0.17131101119959316</v>
      </c>
      <c r="D14">
        <f t="shared" si="3"/>
        <v>1.7403626894942439</v>
      </c>
      <c r="E14">
        <v>55</v>
      </c>
    </row>
    <row r="15" spans="1:5" x14ac:dyDescent="0.2">
      <c r="A15">
        <v>187.61</v>
      </c>
      <c r="B15">
        <v>865.21</v>
      </c>
      <c r="C15">
        <f t="shared" si="2"/>
        <v>0.21683753077287596</v>
      </c>
      <c r="D15">
        <f t="shared" si="3"/>
        <v>1.6532125137753435</v>
      </c>
      <c r="E15">
        <v>45</v>
      </c>
    </row>
    <row r="16" spans="1:5" x14ac:dyDescent="0.2">
      <c r="A16">
        <v>245.37</v>
      </c>
      <c r="B16">
        <v>865.21</v>
      </c>
      <c r="C16">
        <f t="shared" si="2"/>
        <v>0.28359589001514085</v>
      </c>
      <c r="D16">
        <f t="shared" si="3"/>
        <v>1.5440680443502754</v>
      </c>
      <c r="E16">
        <v>35</v>
      </c>
    </row>
    <row r="17" spans="1:5" x14ac:dyDescent="0.2">
      <c r="A17">
        <v>376.92</v>
      </c>
      <c r="B17">
        <v>865.21</v>
      </c>
      <c r="C17">
        <f t="shared" si="2"/>
        <v>0.43563990245142797</v>
      </c>
      <c r="D17">
        <f t="shared" si="3"/>
        <v>1.3979400086720375</v>
      </c>
      <c r="E17">
        <v>25</v>
      </c>
    </row>
    <row r="18" spans="1:5" x14ac:dyDescent="0.2">
      <c r="A18">
        <v>531.12</v>
      </c>
      <c r="B18">
        <v>865.21</v>
      </c>
      <c r="C18">
        <f t="shared" si="2"/>
        <v>0.61386253048392869</v>
      </c>
      <c r="D18">
        <f t="shared" si="3"/>
        <v>1.1760912590556811</v>
      </c>
      <c r="E18">
        <v>15</v>
      </c>
    </row>
    <row r="19" spans="1:5" x14ac:dyDescent="0.2">
      <c r="B19">
        <v>865.21</v>
      </c>
    </row>
    <row r="20" spans="1:5" x14ac:dyDescent="0.2">
      <c r="A20">
        <v>301.66000000000003</v>
      </c>
      <c r="B20">
        <v>865.21</v>
      </c>
      <c r="C20">
        <f>A20/B20</f>
        <v>0.34865523976837992</v>
      </c>
    </row>
    <row r="21" spans="1:5" x14ac:dyDescent="0.2">
      <c r="D21">
        <f>10^(-1.4717 * C20+2.03)</f>
        <v>32.876386968799402</v>
      </c>
    </row>
    <row r="34" spans="1:5" x14ac:dyDescent="0.2">
      <c r="A34">
        <v>43.24</v>
      </c>
      <c r="B34">
        <v>718.18</v>
      </c>
      <c r="C34">
        <f>A34/B34</f>
        <v>6.0207747361385733E-2</v>
      </c>
      <c r="D34">
        <f>LOG(E34, 10)</f>
        <v>2.0791812460476247</v>
      </c>
      <c r="E34">
        <v>120</v>
      </c>
    </row>
    <row r="35" spans="1:5" x14ac:dyDescent="0.2">
      <c r="A35">
        <v>105.32</v>
      </c>
      <c r="B35">
        <v>718.18</v>
      </c>
      <c r="C35">
        <f t="shared" ref="C35:C38" si="4">A35/B35</f>
        <v>0.14664847252777855</v>
      </c>
      <c r="D35">
        <f t="shared" ref="D35:D40" si="5">LOG(E35, 10)</f>
        <v>1.8450980400142569</v>
      </c>
      <c r="E35">
        <v>70</v>
      </c>
    </row>
    <row r="36" spans="1:5" x14ac:dyDescent="0.2">
      <c r="A36">
        <v>152.22</v>
      </c>
      <c r="B36">
        <v>718.18</v>
      </c>
      <c r="C36">
        <f t="shared" si="4"/>
        <v>0.21195243532262109</v>
      </c>
      <c r="D36">
        <f t="shared" si="5"/>
        <v>1.7403626894942439</v>
      </c>
      <c r="E36">
        <v>55</v>
      </c>
    </row>
    <row r="37" spans="1:5" x14ac:dyDescent="0.2">
      <c r="A37">
        <v>191.72</v>
      </c>
      <c r="B37">
        <v>718.18</v>
      </c>
      <c r="C37">
        <f t="shared" si="4"/>
        <v>0.26695257456347993</v>
      </c>
      <c r="D37">
        <f t="shared" si="5"/>
        <v>1.6532125137753435</v>
      </c>
      <c r="E37">
        <v>45</v>
      </c>
    </row>
    <row r="38" spans="1:5" x14ac:dyDescent="0.2">
      <c r="A38">
        <v>246.85</v>
      </c>
      <c r="B38">
        <v>718.18</v>
      </c>
      <c r="C38">
        <f t="shared" si="4"/>
        <v>0.34371606004065836</v>
      </c>
      <c r="D38">
        <f t="shared" si="5"/>
        <v>1.5440680443502754</v>
      </c>
      <c r="E38">
        <v>35</v>
      </c>
    </row>
    <row r="39" spans="1:5" x14ac:dyDescent="0.2">
      <c r="A39">
        <v>377.96</v>
      </c>
      <c r="B39">
        <v>718.18</v>
      </c>
      <c r="C39">
        <f>A39/B39</f>
        <v>0.52627475006265845</v>
      </c>
      <c r="D39">
        <f t="shared" si="5"/>
        <v>1.3979400086720375</v>
      </c>
      <c r="E39">
        <v>25</v>
      </c>
    </row>
    <row r="40" spans="1:5" x14ac:dyDescent="0.2">
      <c r="A40">
        <v>534.54</v>
      </c>
      <c r="B40">
        <v>718.18</v>
      </c>
      <c r="C40">
        <f>A40/B40</f>
        <v>0.74429808683059961</v>
      </c>
      <c r="D40">
        <f t="shared" si="5"/>
        <v>1.1760912590556811</v>
      </c>
      <c r="E40">
        <v>15</v>
      </c>
    </row>
    <row r="42" spans="1:5" x14ac:dyDescent="0.2">
      <c r="A42">
        <v>312.85000000000002</v>
      </c>
      <c r="B42">
        <v>718.18</v>
      </c>
      <c r="C42">
        <f>A42/B42</f>
        <v>0.4356150268734858</v>
      </c>
    </row>
    <row r="43" spans="1:5" x14ac:dyDescent="0.2">
      <c r="D43">
        <f>10^(-1.2247 * C42+2.0361)</f>
        <v>31.812827939567654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2024-11-07T15:34:59Z</dcterms:created>
  <dcterms:modified xsi:type="dcterms:W3CDTF">2024-11-08T07:36:40Z</dcterms:modified>
</cp:coreProperties>
</file>