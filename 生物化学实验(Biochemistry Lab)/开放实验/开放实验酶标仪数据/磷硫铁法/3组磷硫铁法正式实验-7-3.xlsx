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peiyuliu/Desktop/PKU-Undergraduate-Course-Public/生物化学实验(Biochemistry Lab)/开放实验/开放实验酶标仪数据/磷硫铁法/"/>
    </mc:Choice>
  </mc:AlternateContent>
  <xr:revisionPtr revIDLastSave="0" documentId="13_ncr:1_{B37FD626-AD45-D444-B522-FC7DB2DF0BB4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板 1 - Sheet1" sheetId="1" r:id="rId1"/>
  </sheets>
  <definedNames>
    <definedName name="MethodPointer1">1008889296</definedName>
    <definedName name="MethodPointer2">687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35" i="1" l="1"/>
  <c r="T36" i="1"/>
  <c r="T37" i="1"/>
  <c r="T38" i="1"/>
  <c r="T39" i="1"/>
  <c r="T26" i="1"/>
  <c r="T27" i="1"/>
  <c r="T28" i="1"/>
  <c r="T29" i="1"/>
  <c r="T30" i="1"/>
  <c r="T31" i="1"/>
  <c r="T32" i="1"/>
  <c r="T33" i="1"/>
  <c r="T34" i="1"/>
  <c r="T24" i="1"/>
</calcChain>
</file>

<file path=xl/sharedStrings.xml><?xml version="1.0" encoding="utf-8"?>
<sst xmlns="http://schemas.openxmlformats.org/spreadsheetml/2006/main" count="39" uniqueCount="34">
  <si>
    <t>软件版本</t>
  </si>
  <si>
    <t>3.05.11</t>
  </si>
  <si>
    <r>
      <t>实验文件路径</t>
    </r>
    <r>
      <rPr>
        <sz val="10"/>
        <rFont val="Arial"/>
        <family val="2"/>
      </rPr>
      <t>:</t>
    </r>
  </si>
  <si>
    <r>
      <t>C:\Users\Public\Documents\Experiments\</t>
    </r>
    <r>
      <rPr>
        <sz val="10"/>
        <rFont val="宋体"/>
        <family val="3"/>
        <charset val="134"/>
      </rPr>
      <t>周五三组正式实验</t>
    </r>
    <r>
      <rPr>
        <sz val="10"/>
        <rFont val="Arial"/>
        <family val="2"/>
      </rPr>
      <t xml:space="preserve"> lpy</t>
    </r>
    <r>
      <rPr>
        <sz val="10"/>
        <rFont val="宋体"/>
        <family val="3"/>
        <charset val="134"/>
      </rPr>
      <t>磷硫铁法</t>
    </r>
    <r>
      <rPr>
        <sz val="10"/>
        <rFont val="Arial"/>
        <family val="2"/>
      </rPr>
      <t>-7-3.xpt</t>
    </r>
  </si>
  <si>
    <r>
      <t>方案文件路径</t>
    </r>
    <r>
      <rPr>
        <sz val="10"/>
        <rFont val="Arial"/>
        <family val="2"/>
      </rPr>
      <t>:</t>
    </r>
  </si>
  <si>
    <t>板编号</t>
  </si>
  <si>
    <r>
      <t>板</t>
    </r>
    <r>
      <rPr>
        <sz val="10"/>
        <rFont val="Arial"/>
        <family val="2"/>
      </rPr>
      <t xml:space="preserve"> 1</t>
    </r>
  </si>
  <si>
    <t>日期</t>
  </si>
  <si>
    <t>时间</t>
  </si>
  <si>
    <r>
      <t>检测仪类型</t>
    </r>
    <r>
      <rPr>
        <sz val="10"/>
        <rFont val="Arial"/>
        <family val="2"/>
      </rPr>
      <t>:</t>
    </r>
  </si>
  <si>
    <t>Epoch 2</t>
  </si>
  <si>
    <r>
      <t>检测仪序列号</t>
    </r>
    <r>
      <rPr>
        <sz val="10"/>
        <rFont val="Arial"/>
        <family val="2"/>
      </rPr>
      <t>:</t>
    </r>
  </si>
  <si>
    <t>检测类型</t>
  </si>
  <si>
    <t>检测仪</t>
  </si>
  <si>
    <t>程序详细信息</t>
  </si>
  <si>
    <t>板类型</t>
  </si>
  <si>
    <t>96 WELL PLATE</t>
  </si>
  <si>
    <t>完成后弹出板</t>
  </si>
  <si>
    <t>检测</t>
  </si>
  <si>
    <r>
      <t>吸收光</t>
    </r>
    <r>
      <rPr>
        <sz val="10"/>
        <rFont val="Arial"/>
        <family val="2"/>
      </rPr>
      <t xml:space="preserve"> </t>
    </r>
    <r>
      <rPr>
        <sz val="10"/>
        <rFont val="宋体"/>
        <family val="3"/>
        <charset val="134"/>
      </rPr>
      <t>终点</t>
    </r>
  </si>
  <si>
    <t>全板</t>
  </si>
  <si>
    <r>
      <t>波长</t>
    </r>
    <r>
      <rPr>
        <sz val="10"/>
        <rFont val="Arial"/>
        <family val="2"/>
      </rPr>
      <t>:  560</t>
    </r>
  </si>
  <si>
    <r>
      <t>检测速度</t>
    </r>
    <r>
      <rPr>
        <sz val="10"/>
        <rFont val="Arial"/>
        <family val="2"/>
      </rPr>
      <t xml:space="preserve">: </t>
    </r>
    <r>
      <rPr>
        <sz val="10"/>
        <rFont val="宋体"/>
        <family val="3"/>
        <charset val="134"/>
      </rPr>
      <t>正常</t>
    </r>
    <r>
      <rPr>
        <sz val="10"/>
        <rFont val="Arial"/>
        <family val="2"/>
      </rPr>
      <t xml:space="preserve">,  </t>
    </r>
    <r>
      <rPr>
        <sz val="10"/>
        <rFont val="宋体"/>
        <family val="3"/>
        <charset val="134"/>
      </rPr>
      <t>延迟</t>
    </r>
    <r>
      <rPr>
        <sz val="10"/>
        <rFont val="Arial"/>
        <family val="2"/>
      </rPr>
      <t xml:space="preserve">: 100 msec,  </t>
    </r>
    <r>
      <rPr>
        <sz val="10"/>
        <rFont val="宋体"/>
        <family val="3"/>
        <charset val="134"/>
      </rPr>
      <t>测量值</t>
    </r>
    <r>
      <rPr>
        <sz val="10"/>
        <rFont val="Arial"/>
        <family val="2"/>
      </rPr>
      <t>/</t>
    </r>
    <r>
      <rPr>
        <sz val="10"/>
        <rFont val="宋体"/>
        <family val="3"/>
        <charset val="134"/>
      </rPr>
      <t>数据点</t>
    </r>
    <r>
      <rPr>
        <sz val="10"/>
        <rFont val="Arial"/>
        <family val="2"/>
      </rPr>
      <t>: 8</t>
    </r>
  </si>
  <si>
    <t>结果</t>
  </si>
  <si>
    <r>
      <t>实际温度</t>
    </r>
    <r>
      <rPr>
        <sz val="10"/>
        <rFont val="Arial"/>
        <family val="2"/>
      </rPr>
      <t>:</t>
    </r>
  </si>
  <si>
    <t>A</t>
  </si>
  <si>
    <t>B</t>
  </si>
  <si>
    <t>C</t>
  </si>
  <si>
    <t>D</t>
  </si>
  <si>
    <t>OVRFLW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</si>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</sst>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name val="Arial"/>
      <family val="2"/>
    </font>
    <font>
      <sz val="10"/>
      <name val="宋体"/>
      <family val="3"/>
      <charset val="134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27413E"/>
      <name val="Arial"/>
      <family val="2"/>
    </font>
    <font>
      <sz val="7"/>
      <color rgb="FF0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BAD7EF"/>
        <bgColor indexed="64"/>
      </patternFill>
    </fill>
    <fill>
      <patternFill patternType="solid">
        <fgColor rgb="FF60A0D1"/>
        <bgColor indexed="64"/>
      </patternFill>
    </fill>
    <fill>
      <patternFill patternType="solid">
        <fgColor rgb="FF428EC7"/>
        <bgColor indexed="64"/>
      </patternFill>
    </fill>
    <fill>
      <patternFill patternType="solid">
        <fgColor rgb="FFE8F3FF"/>
        <bgColor indexed="64"/>
      </patternFill>
    </fill>
    <fill>
      <patternFill patternType="solid">
        <fgColor rgb="FFC9E0F4"/>
        <bgColor indexed="64"/>
      </patternFill>
    </fill>
    <fill>
      <patternFill patternType="solid">
        <fgColor rgb="FFABCEEA"/>
        <bgColor indexed="64"/>
      </patternFill>
    </fill>
    <fill>
      <patternFill patternType="solid">
        <fgColor rgb="FFD8E9F9"/>
        <bgColor indexed="64"/>
      </patternFill>
    </fill>
    <fill>
      <patternFill patternType="solid">
        <fgColor rgb="FF7EB2DB"/>
        <bgColor indexed="64"/>
      </patternFill>
    </fill>
    <fill>
      <patternFill patternType="solid">
        <fgColor rgb="FF8DBCE0"/>
        <bgColor indexed="64"/>
      </patternFill>
    </fill>
    <fill>
      <patternFill patternType="solid">
        <fgColor rgb="FF9CC5E5"/>
        <bgColor indexed="64"/>
      </patternFill>
    </fill>
    <fill>
      <patternFill patternType="solid">
        <fgColor rgb="FF5197CC"/>
        <bgColor indexed="64"/>
      </patternFill>
    </fill>
    <fill>
      <patternFill patternType="solid">
        <fgColor rgb="FF247C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FA9D6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14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0" fillId="2" borderId="1" xfId="0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'板 1 - Sheet1'!$S$26:$S$39</c:f>
              <c:numCache>
                <c:formatCode>General</c:formatCode>
                <c:ptCount val="14"/>
                <c:pt idx="0">
                  <c:v>1.3</c:v>
                </c:pt>
                <c:pt idx="1">
                  <c:v>1.1000000000000001</c:v>
                </c:pt>
                <c:pt idx="2">
                  <c:v>0.9</c:v>
                </c:pt>
                <c:pt idx="3">
                  <c:v>0.8</c:v>
                </c:pt>
                <c:pt idx="4">
                  <c:v>0.7</c:v>
                </c:pt>
                <c:pt idx="5">
                  <c:v>0.6</c:v>
                </c:pt>
                <c:pt idx="6">
                  <c:v>0.4</c:v>
                </c:pt>
                <c:pt idx="7">
                  <c:v>0.2</c:v>
                </c:pt>
                <c:pt idx="8">
                  <c:v>0.1</c:v>
                </c:pt>
                <c:pt idx="9">
                  <c:v>0.08</c:v>
                </c:pt>
                <c:pt idx="10">
                  <c:v>0.04</c:v>
                </c:pt>
                <c:pt idx="11">
                  <c:v>0.02</c:v>
                </c:pt>
                <c:pt idx="12">
                  <c:v>0.01</c:v>
                </c:pt>
                <c:pt idx="13">
                  <c:v>0</c:v>
                </c:pt>
              </c:numCache>
            </c:numRef>
          </c:xVal>
          <c:yVal>
            <c:numRef>
              <c:f>'板 1 - Sheet1'!$T$26:$T$39</c:f>
              <c:numCache>
                <c:formatCode>General</c:formatCode>
                <c:ptCount val="14"/>
                <c:pt idx="0">
                  <c:v>1.9715</c:v>
                </c:pt>
                <c:pt idx="1">
                  <c:v>1.7035</c:v>
                </c:pt>
                <c:pt idx="2">
                  <c:v>1.4615</c:v>
                </c:pt>
                <c:pt idx="3">
                  <c:v>1.3595000000000002</c:v>
                </c:pt>
                <c:pt idx="4">
                  <c:v>1.228</c:v>
                </c:pt>
                <c:pt idx="5">
                  <c:v>1.0465</c:v>
                </c:pt>
                <c:pt idx="6">
                  <c:v>0.80499999999999994</c:v>
                </c:pt>
                <c:pt idx="7">
                  <c:v>0.47050000000000003</c:v>
                </c:pt>
                <c:pt idx="8">
                  <c:v>0.30199999999999999</c:v>
                </c:pt>
                <c:pt idx="9">
                  <c:v>0.19</c:v>
                </c:pt>
                <c:pt idx="10">
                  <c:v>0.11799999999999999</c:v>
                </c:pt>
                <c:pt idx="11">
                  <c:v>8.2000000000000003E-2</c:v>
                </c:pt>
                <c:pt idx="12">
                  <c:v>7.0500000000000007E-2</c:v>
                </c:pt>
                <c:pt idx="13">
                  <c:v>5.1999999999999998E-2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D76-8341-9B8C-A0F768049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762496"/>
        <c:axId val="52760960"/>
      </c:scatterChart>
      <c:valAx>
        <c:axId val="527624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2760960"/>
        <c:crosses val="autoZero"/>
        <c:crossBetween val="midCat"/>
      </c:valAx>
      <c:valAx>
        <c:axId val="52760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27624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495300</xdr:colOff>
      <xdr:row>7</xdr:row>
      <xdr:rowOff>76200</xdr:rowOff>
    </xdr:from>
    <xdr:to>
      <xdr:col>15</xdr:col>
      <xdr:colOff>190500</xdr:colOff>
      <xdr:row>24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T39"/>
  <sheetViews>
    <sheetView tabSelected="1" workbookViewId="0">
      <selection activeCell="V29" sqref="V29"/>
    </sheetView>
  </sheetViews>
  <sheetFormatPr baseColWidth="10" defaultColWidth="8.83203125" defaultRowHeight="13"/>
  <cols>
    <col min="1" max="1" width="20.6640625" customWidth="1"/>
    <col min="2" max="2" width="12.6640625" customWidth="1"/>
  </cols>
  <sheetData>
    <row r="2" spans="1:2" ht="14">
      <c r="A2" s="1" t="s">
        <v>0</v>
      </c>
      <c r="B2" t="s">
        <v>1</v>
      </c>
    </row>
    <row r="4" spans="1:2" ht="14">
      <c r="A4" s="1" t="s">
        <v>2</v>
      </c>
      <c r="B4" t="s">
        <v>3</v>
      </c>
    </row>
    <row r="5" spans="1:2" ht="14">
      <c r="A5" s="1" t="s">
        <v>4</v>
      </c>
    </row>
    <row r="6" spans="1:2" ht="14">
      <c r="A6" s="1" t="s">
        <v>5</v>
      </c>
      <c r="B6" s="1" t="s">
        <v>6</v>
      </c>
    </row>
    <row r="7" spans="1:2" ht="14">
      <c r="A7" s="1" t="s">
        <v>7</v>
      </c>
      <c r="B7" s="2">
        <v>45626</v>
      </c>
    </row>
    <row r="8" spans="1:2" ht="14">
      <c r="A8" s="1" t="s">
        <v>8</v>
      </c>
      <c r="B8" s="3">
        <v>0.69958333333333333</v>
      </c>
    </row>
    <row r="9" spans="1:2" ht="14">
      <c r="A9" s="1" t="s">
        <v>9</v>
      </c>
      <c r="B9" t="s">
        <v>10</v>
      </c>
    </row>
    <row r="10" spans="1:2" ht="14">
      <c r="A10" s="1" t="s">
        <v>11</v>
      </c>
      <c r="B10">
        <v>19012425</v>
      </c>
    </row>
    <row r="11" spans="1:2" ht="14">
      <c r="A11" s="1" t="s">
        <v>12</v>
      </c>
      <c r="B11" s="1" t="s">
        <v>13</v>
      </c>
    </row>
    <row r="13" spans="1:2" ht="14">
      <c r="A13" s="4" t="s">
        <v>14</v>
      </c>
      <c r="B13" s="5"/>
    </row>
    <row r="14" spans="1:2" ht="14">
      <c r="A14" s="1" t="s">
        <v>15</v>
      </c>
      <c r="B14" t="s">
        <v>16</v>
      </c>
    </row>
    <row r="15" spans="1:2" ht="14">
      <c r="A15" s="1" t="s">
        <v>17</v>
      </c>
    </row>
    <row r="16" spans="1:2" ht="14">
      <c r="A16" s="1" t="s">
        <v>18</v>
      </c>
      <c r="B16" s="1" t="s">
        <v>19</v>
      </c>
    </row>
    <row r="17" spans="1:20" ht="14">
      <c r="B17" s="1" t="s">
        <v>20</v>
      </c>
    </row>
    <row r="18" spans="1:20" ht="14">
      <c r="B18" s="1" t="s">
        <v>21</v>
      </c>
    </row>
    <row r="19" spans="1:20" ht="14">
      <c r="B19" s="1" t="s">
        <v>22</v>
      </c>
    </row>
    <row r="21" spans="1:20" ht="14">
      <c r="A21" s="4" t="s">
        <v>23</v>
      </c>
      <c r="B21" s="5"/>
    </row>
    <row r="22" spans="1:20" ht="14">
      <c r="A22" s="1" t="s">
        <v>24</v>
      </c>
      <c r="B22">
        <v>24.3</v>
      </c>
    </row>
    <row r="24" spans="1:20">
      <c r="B24" s="6"/>
      <c r="C24" s="7">
        <v>1</v>
      </c>
      <c r="D24" s="7">
        <v>2</v>
      </c>
      <c r="E24" s="7">
        <v>3</v>
      </c>
      <c r="F24" s="7">
        <v>4</v>
      </c>
      <c r="G24" s="7">
        <v>5</v>
      </c>
      <c r="H24" s="7">
        <v>6</v>
      </c>
      <c r="I24" s="7">
        <v>7</v>
      </c>
      <c r="J24" s="7">
        <v>8</v>
      </c>
      <c r="K24" s="7">
        <v>9</v>
      </c>
      <c r="L24" s="7">
        <v>10</v>
      </c>
      <c r="M24" s="7">
        <v>11</v>
      </c>
      <c r="N24" s="7">
        <v>12</v>
      </c>
      <c r="Q24" s="9">
        <v>2.194</v>
      </c>
      <c r="R24" s="10">
        <v>2.6930000000000001</v>
      </c>
      <c r="S24">
        <v>1.6</v>
      </c>
      <c r="T24">
        <f>(Q24+R24)/2</f>
        <v>2.4435000000000002</v>
      </c>
    </row>
    <row r="25" spans="1:20" ht="14">
      <c r="B25" s="7" t="s">
        <v>25</v>
      </c>
      <c r="C25" s="8">
        <v>0.82</v>
      </c>
      <c r="D25" s="8">
        <v>0.79</v>
      </c>
      <c r="E25" s="9">
        <v>2.194</v>
      </c>
      <c r="F25" s="10">
        <v>2.6930000000000001</v>
      </c>
      <c r="G25" s="11">
        <v>-3.0000000000000001E-3</v>
      </c>
      <c r="H25" s="11">
        <v>4.2999999999999997E-2</v>
      </c>
      <c r="I25" s="11">
        <v>4.2999999999999997E-2</v>
      </c>
      <c r="J25" s="11">
        <v>4.4999999999999998E-2</v>
      </c>
      <c r="K25" s="11">
        <v>4.2999999999999997E-2</v>
      </c>
      <c r="L25" s="11">
        <v>4.3999999999999997E-2</v>
      </c>
      <c r="M25" s="11">
        <v>4.3999999999999997E-2</v>
      </c>
      <c r="N25" s="11">
        <v>-3.0000000000000001E-3</v>
      </c>
      <c r="O25" s="12">
        <v>560</v>
      </c>
      <c r="Q25" s="9">
        <v>2.077</v>
      </c>
      <c r="R25" s="9">
        <v>2.1659999999999999</v>
      </c>
    </row>
    <row r="26" spans="1:20" ht="14">
      <c r="B26" s="7" t="s">
        <v>26</v>
      </c>
      <c r="C26" s="13">
        <v>0.46400000000000002</v>
      </c>
      <c r="D26" s="13">
        <v>0.47699999999999998</v>
      </c>
      <c r="E26" s="9">
        <v>2.077</v>
      </c>
      <c r="F26" s="9">
        <v>2.1659999999999999</v>
      </c>
      <c r="G26" s="11">
        <v>-3.0000000000000001E-3</v>
      </c>
      <c r="H26" s="13">
        <v>0.51</v>
      </c>
      <c r="I26" s="13">
        <v>0.54900000000000004</v>
      </c>
      <c r="J26" s="8">
        <v>0.70499999999999996</v>
      </c>
      <c r="K26" s="8">
        <v>0.73</v>
      </c>
      <c r="L26" s="14">
        <v>1.0129999999999999</v>
      </c>
      <c r="M26" s="14">
        <v>1.0149999999999999</v>
      </c>
      <c r="N26" s="11">
        <v>-3.0000000000000001E-3</v>
      </c>
      <c r="O26" s="12">
        <v>560</v>
      </c>
      <c r="Q26" s="16">
        <v>1.7549999999999999</v>
      </c>
      <c r="R26" s="9">
        <v>2.1880000000000002</v>
      </c>
      <c r="S26">
        <v>1.3</v>
      </c>
      <c r="T26">
        <f t="shared" ref="T26:T39" si="0">(Q26+R26)/2</f>
        <v>1.9715</v>
      </c>
    </row>
    <row r="27" spans="1:20" ht="14">
      <c r="B27" s="7" t="s">
        <v>27</v>
      </c>
      <c r="C27" s="15">
        <v>0.29399999999999998</v>
      </c>
      <c r="D27" s="15">
        <v>0.31</v>
      </c>
      <c r="E27" s="16">
        <v>1.7549999999999999</v>
      </c>
      <c r="F27" s="9">
        <v>2.1880000000000002</v>
      </c>
      <c r="G27" s="11">
        <v>-3.0000000000000001E-3</v>
      </c>
      <c r="H27" s="17">
        <v>1.357</v>
      </c>
      <c r="I27" s="18">
        <v>1.2929999999999999</v>
      </c>
      <c r="J27" s="16">
        <v>1.615</v>
      </c>
      <c r="K27" s="16">
        <v>1.633</v>
      </c>
      <c r="L27" s="19">
        <v>2.3090000000000002</v>
      </c>
      <c r="M27" s="19">
        <v>2.2999999999999998</v>
      </c>
      <c r="N27" s="11">
        <v>-3.0000000000000001E-3</v>
      </c>
      <c r="O27" s="12">
        <v>560</v>
      </c>
      <c r="Q27" s="16">
        <v>1.7769999999999999</v>
      </c>
      <c r="R27" s="16">
        <v>1.63</v>
      </c>
      <c r="S27">
        <v>1.1000000000000001</v>
      </c>
      <c r="T27">
        <f t="shared" si="0"/>
        <v>1.7035</v>
      </c>
    </row>
    <row r="28" spans="1:20" ht="14">
      <c r="B28" s="7" t="s">
        <v>28</v>
      </c>
      <c r="C28" s="11">
        <v>0.182</v>
      </c>
      <c r="D28" s="11">
        <v>0.19800000000000001</v>
      </c>
      <c r="E28" s="16">
        <v>1.7769999999999999</v>
      </c>
      <c r="F28" s="16">
        <v>1.63</v>
      </c>
      <c r="G28" s="11">
        <v>-3.0000000000000001E-3</v>
      </c>
      <c r="H28" s="19">
        <v>2.38</v>
      </c>
      <c r="I28" s="10">
        <v>2.669</v>
      </c>
      <c r="J28" s="20">
        <v>3.03</v>
      </c>
      <c r="K28" s="20">
        <v>3.1659999999999999</v>
      </c>
      <c r="L28" s="21" t="s">
        <v>29</v>
      </c>
      <c r="M28" s="21" t="s">
        <v>29</v>
      </c>
      <c r="N28" s="11">
        <v>-3.0000000000000001E-3</v>
      </c>
      <c r="O28" s="12">
        <v>560</v>
      </c>
      <c r="Q28" s="17">
        <v>1.52</v>
      </c>
      <c r="R28" s="17">
        <v>1.403</v>
      </c>
      <c r="S28">
        <v>0.9</v>
      </c>
      <c r="T28">
        <f t="shared" si="0"/>
        <v>1.4615</v>
      </c>
    </row>
    <row r="29" spans="1:20" ht="14">
      <c r="B29" s="7" t="s">
        <v>30</v>
      </c>
      <c r="C29" s="11">
        <v>0.11700000000000001</v>
      </c>
      <c r="D29" s="11">
        <v>0.11899999999999999</v>
      </c>
      <c r="E29" s="17">
        <v>1.52</v>
      </c>
      <c r="F29" s="17">
        <v>1.403</v>
      </c>
      <c r="G29" s="11">
        <v>-3.0000000000000001E-3</v>
      </c>
      <c r="H29" s="11">
        <v>4.2999999999999997E-2</v>
      </c>
      <c r="I29" s="11">
        <v>4.7E-2</v>
      </c>
      <c r="J29" s="11">
        <v>4.2999999999999997E-2</v>
      </c>
      <c r="K29" s="11">
        <v>4.3999999999999997E-2</v>
      </c>
      <c r="L29" s="11">
        <v>4.3999999999999997E-2</v>
      </c>
      <c r="M29" s="11">
        <v>4.2999999999999997E-2</v>
      </c>
      <c r="N29" s="11">
        <v>-3.0000000000000001E-3</v>
      </c>
      <c r="O29" s="12">
        <v>560</v>
      </c>
      <c r="Q29" s="17">
        <v>1.3660000000000001</v>
      </c>
      <c r="R29" s="18">
        <v>1.353</v>
      </c>
      <c r="S29">
        <v>0.8</v>
      </c>
      <c r="T29">
        <f t="shared" si="0"/>
        <v>1.3595000000000002</v>
      </c>
    </row>
    <row r="30" spans="1:20" ht="14">
      <c r="B30" s="7" t="s">
        <v>31</v>
      </c>
      <c r="C30" s="11">
        <v>8.2000000000000003E-2</v>
      </c>
      <c r="D30" s="11">
        <v>8.2000000000000003E-2</v>
      </c>
      <c r="E30" s="17">
        <v>1.3660000000000001</v>
      </c>
      <c r="F30" s="18">
        <v>1.353</v>
      </c>
      <c r="G30" s="11">
        <v>-3.0000000000000001E-3</v>
      </c>
      <c r="H30" s="19">
        <v>2.4340000000000002</v>
      </c>
      <c r="I30" s="9">
        <v>2.1219999999999999</v>
      </c>
      <c r="J30" s="15">
        <v>0.44800000000000001</v>
      </c>
      <c r="K30" s="15">
        <v>0.42</v>
      </c>
      <c r="L30" s="15">
        <v>0.26400000000000001</v>
      </c>
      <c r="M30" s="15">
        <v>0.27700000000000002</v>
      </c>
      <c r="N30" s="11">
        <v>-3.0000000000000001E-3</v>
      </c>
      <c r="O30" s="12">
        <v>560</v>
      </c>
      <c r="Q30" s="18">
        <v>1.1950000000000001</v>
      </c>
      <c r="R30" s="18">
        <v>1.2609999999999999</v>
      </c>
      <c r="S30">
        <v>0.7</v>
      </c>
      <c r="T30">
        <f t="shared" si="0"/>
        <v>1.228</v>
      </c>
    </row>
    <row r="31" spans="1:20" ht="14">
      <c r="B31" s="7" t="s">
        <v>32</v>
      </c>
      <c r="C31" s="11">
        <v>7.2999999999999995E-2</v>
      </c>
      <c r="D31" s="11">
        <v>6.8000000000000005E-2</v>
      </c>
      <c r="E31" s="18">
        <v>1.1950000000000001</v>
      </c>
      <c r="F31" s="18">
        <v>1.2609999999999999</v>
      </c>
      <c r="G31" s="11">
        <v>-3.0000000000000001E-3</v>
      </c>
      <c r="H31" s="21" t="s">
        <v>29</v>
      </c>
      <c r="I31" s="21" t="s">
        <v>29</v>
      </c>
      <c r="J31" s="14">
        <v>1.0309999999999999</v>
      </c>
      <c r="K31" s="14">
        <v>0.95099999999999996</v>
      </c>
      <c r="L31" s="13">
        <v>0.64200000000000002</v>
      </c>
      <c r="M31" s="13">
        <v>0.61199999999999999</v>
      </c>
      <c r="N31" s="11">
        <v>-3.0000000000000001E-3</v>
      </c>
      <c r="O31" s="12">
        <v>560</v>
      </c>
      <c r="Q31" s="14">
        <v>1.026</v>
      </c>
      <c r="R31" s="14">
        <v>1.0669999999999999</v>
      </c>
      <c r="S31">
        <v>0.6</v>
      </c>
      <c r="T31">
        <f t="shared" si="0"/>
        <v>1.0465</v>
      </c>
    </row>
    <row r="32" spans="1:20" ht="14">
      <c r="B32" s="7" t="s">
        <v>33</v>
      </c>
      <c r="C32" s="11">
        <v>5.1999999999999998E-2</v>
      </c>
      <c r="D32" s="11">
        <v>5.1999999999999998E-2</v>
      </c>
      <c r="E32" s="14">
        <v>1.026</v>
      </c>
      <c r="F32" s="14">
        <v>1.0669999999999999</v>
      </c>
      <c r="G32" s="11">
        <v>-3.0000000000000001E-3</v>
      </c>
      <c r="H32" s="21" t="s">
        <v>29</v>
      </c>
      <c r="I32" s="21" t="s">
        <v>29</v>
      </c>
      <c r="J32" s="16">
        <v>1.74</v>
      </c>
      <c r="K32" s="22">
        <v>1.8109999999999999</v>
      </c>
      <c r="L32" s="14">
        <v>1.0680000000000001</v>
      </c>
      <c r="M32" s="18">
        <v>1.1419999999999999</v>
      </c>
      <c r="N32" s="11">
        <v>-3.0000000000000001E-3</v>
      </c>
      <c r="O32" s="12">
        <v>560</v>
      </c>
      <c r="Q32" s="8">
        <v>0.82</v>
      </c>
      <c r="R32" s="8">
        <v>0.79</v>
      </c>
      <c r="S32">
        <v>0.4</v>
      </c>
      <c r="T32">
        <f t="shared" si="0"/>
        <v>0.80499999999999994</v>
      </c>
    </row>
    <row r="33" spans="17:20">
      <c r="Q33" s="13">
        <v>0.46400000000000002</v>
      </c>
      <c r="R33" s="13">
        <v>0.47699999999999998</v>
      </c>
      <c r="S33">
        <v>0.2</v>
      </c>
      <c r="T33">
        <f t="shared" si="0"/>
        <v>0.47050000000000003</v>
      </c>
    </row>
    <row r="34" spans="17:20">
      <c r="Q34" s="15">
        <v>0.29399999999999998</v>
      </c>
      <c r="R34" s="15">
        <v>0.31</v>
      </c>
      <c r="S34">
        <v>0.1</v>
      </c>
      <c r="T34">
        <f t="shared" si="0"/>
        <v>0.30199999999999999</v>
      </c>
    </row>
    <row r="35" spans="17:20">
      <c r="Q35" s="11">
        <v>0.182</v>
      </c>
      <c r="R35" s="11">
        <v>0.19800000000000001</v>
      </c>
      <c r="S35">
        <v>0.08</v>
      </c>
      <c r="T35">
        <f t="shared" si="0"/>
        <v>0.19</v>
      </c>
    </row>
    <row r="36" spans="17:20">
      <c r="Q36" s="11">
        <v>0.11700000000000001</v>
      </c>
      <c r="R36" s="11">
        <v>0.11899999999999999</v>
      </c>
      <c r="S36">
        <v>0.04</v>
      </c>
      <c r="T36">
        <f t="shared" si="0"/>
        <v>0.11799999999999999</v>
      </c>
    </row>
    <row r="37" spans="17:20">
      <c r="Q37" s="11">
        <v>8.2000000000000003E-2</v>
      </c>
      <c r="R37" s="11">
        <v>8.2000000000000003E-2</v>
      </c>
      <c r="S37">
        <v>0.02</v>
      </c>
      <c r="T37">
        <f t="shared" si="0"/>
        <v>8.2000000000000003E-2</v>
      </c>
    </row>
    <row r="38" spans="17:20">
      <c r="Q38" s="11">
        <v>7.2999999999999995E-2</v>
      </c>
      <c r="R38" s="11">
        <v>6.8000000000000005E-2</v>
      </c>
      <c r="S38">
        <v>0.01</v>
      </c>
      <c r="T38">
        <f t="shared" si="0"/>
        <v>7.0500000000000007E-2</v>
      </c>
    </row>
    <row r="39" spans="17:20">
      <c r="Q39" s="11">
        <v>5.1999999999999998E-2</v>
      </c>
      <c r="R39" s="11">
        <v>5.1999999999999998E-2</v>
      </c>
      <c r="S39">
        <v>0</v>
      </c>
      <c r="T39">
        <f t="shared" si="0"/>
        <v>5.1999999999999998E-2</v>
      </c>
    </row>
  </sheetData>
  <phoneticPr fontId="0" type="noConversion"/>
  <pageMargins left="0.75" right="0.75" top="1" bottom="1" header="0.5" footer="0.5"/>
  <pageSetup paperSize="256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板 1 - 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biochemistry lab</dc:creator>
  <cp:lastModifiedBy>Microsoft Office User</cp:lastModifiedBy>
  <dcterms:created xsi:type="dcterms:W3CDTF">2011-01-18T20:51:17Z</dcterms:created>
  <dcterms:modified xsi:type="dcterms:W3CDTF">2024-12-05T10:12:22Z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utoMacroName">
    <vt:lpwstr>None</vt:lpwstr>
  </property>
  <property fmtid="{D5CDD505-2E9C-101B-9397-08002B2CF9AE}" pid="3" name="LastEdited">
    <vt:lpwstr>12.0</vt:lpwstr>
  </property>
</Properties>
</file>