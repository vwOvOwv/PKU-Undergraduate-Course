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1008889296</definedName>
    <definedName name="MethodPointer2">687</definedName>
  </definedNames>
  <calcPr calcId="124519"/>
</workbook>
</file>

<file path=xl/calcChain.xml><?xml version="1.0" encoding="utf-8"?>
<calcChain xmlns="http://schemas.openxmlformats.org/spreadsheetml/2006/main">
  <c r="T26" i="1"/>
  <c r="T27"/>
  <c r="T28"/>
  <c r="T29"/>
  <c r="T30"/>
  <c r="T31"/>
  <c r="T32"/>
  <c r="T33"/>
  <c r="T34"/>
  <c r="T24"/>
</calcChain>
</file>

<file path=xl/sharedStrings.xml><?xml version="1.0" encoding="utf-8"?>
<sst xmlns="http://schemas.openxmlformats.org/spreadsheetml/2006/main" count="39" uniqueCount="34">
  <si>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</si>
  <si>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</si>
  <si>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</si>
  <si>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-7-3.xpt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</si>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</sst>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Sheet1'!$S$24:$S$39</c:f>
              <c:numCache>
                <c:formatCode>General</c:formatCode>
                <c:ptCount val="16"/>
                <c:pt idx="0">
                  <c:v>1.6</c:v>
                </c:pt>
                <c:pt idx="2">
                  <c:v>1.3</c:v>
                </c:pt>
                <c:pt idx="3">
                  <c:v>1.1000000000000001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0.4</c:v>
                </c:pt>
                <c:pt idx="9">
                  <c:v>0.2</c:v>
                </c:pt>
                <c:pt idx="10">
                  <c:v>0.1</c:v>
                </c:pt>
              </c:numCache>
            </c:numRef>
          </c:xVal>
          <c:yVal>
            <c:numRef>
              <c:f>'板 1 - Sheet1'!$T$24:$T$39</c:f>
              <c:numCache>
                <c:formatCode>General</c:formatCode>
                <c:ptCount val="16"/>
                <c:pt idx="0">
                  <c:v>2.4435000000000002</c:v>
                </c:pt>
                <c:pt idx="2">
                  <c:v>1.9715</c:v>
                </c:pt>
                <c:pt idx="3">
                  <c:v>1.7035</c:v>
                </c:pt>
                <c:pt idx="4">
                  <c:v>1.4615</c:v>
                </c:pt>
                <c:pt idx="5">
                  <c:v>1.3595000000000002</c:v>
                </c:pt>
                <c:pt idx="6">
                  <c:v>1.228</c:v>
                </c:pt>
                <c:pt idx="7">
                  <c:v>1.0465</c:v>
                </c:pt>
                <c:pt idx="8">
                  <c:v>0.80499999999999994</c:v>
                </c:pt>
                <c:pt idx="9">
                  <c:v>0.47050000000000003</c:v>
                </c:pt>
                <c:pt idx="10">
                  <c:v>0.30199999999999999</c:v>
                </c:pt>
              </c:numCache>
            </c:numRef>
          </c:yVal>
          <c:smooth val="1"/>
        </c:ser>
        <c:axId val="52762496"/>
        <c:axId val="52760960"/>
      </c:scatterChart>
      <c:valAx>
        <c:axId val="52762496"/>
        <c:scaling>
          <c:orientation val="minMax"/>
        </c:scaling>
        <c:axPos val="b"/>
        <c:numFmt formatCode="General" sourceLinked="1"/>
        <c:tickLblPos val="nextTo"/>
        <c:crossAx val="52760960"/>
        <c:crosses val="autoZero"/>
        <c:crossBetween val="midCat"/>
      </c:valAx>
      <c:valAx>
        <c:axId val="52760960"/>
        <c:scaling>
          <c:orientation val="minMax"/>
        </c:scaling>
        <c:axPos val="l"/>
        <c:majorGridlines/>
        <c:numFmt formatCode="General" sourceLinked="1"/>
        <c:tickLblPos val="nextTo"/>
        <c:crossAx val="527624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7</xdr:row>
      <xdr:rowOff>76200</xdr:rowOff>
    </xdr:from>
    <xdr:to>
      <xdr:col>15</xdr:col>
      <xdr:colOff>190500</xdr:colOff>
      <xdr:row>24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9"/>
  <sheetViews>
    <sheetView tabSelected="1" workbookViewId="0">
      <selection activeCell="M32" sqref="M32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0.69958333333333333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20">
      <c r="B17" s="1" t="s">
        <v>20</v>
      </c>
    </row>
    <row r="18" spans="1:20">
      <c r="B18" s="1" t="s">
        <v>21</v>
      </c>
    </row>
    <row r="19" spans="1:20">
      <c r="B19" s="1" t="s">
        <v>22</v>
      </c>
    </row>
    <row r="21" spans="1:20">
      <c r="A21" s="4" t="s">
        <v>23</v>
      </c>
      <c r="B21" s="5"/>
    </row>
    <row r="22" spans="1:20">
      <c r="A22" s="1" t="s">
        <v>24</v>
      </c>
      <c r="B22">
        <v>24.3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9">
        <v>2.194</v>
      </c>
      <c r="R24" s="10">
        <v>2.6930000000000001</v>
      </c>
      <c r="S24">
        <v>1.6</v>
      </c>
      <c r="T24">
        <f>(Q24+R24)/2</f>
        <v>2.4435000000000002</v>
      </c>
    </row>
    <row r="25" spans="1:20">
      <c r="B25" s="7" t="s">
        <v>25</v>
      </c>
      <c r="C25" s="8">
        <v>0.82</v>
      </c>
      <c r="D25" s="8">
        <v>0.79</v>
      </c>
      <c r="E25" s="9">
        <v>2.194</v>
      </c>
      <c r="F25" s="10">
        <v>2.6930000000000001</v>
      </c>
      <c r="G25" s="11">
        <v>-3.0000000000000001E-3</v>
      </c>
      <c r="H25" s="11">
        <v>4.2999999999999997E-2</v>
      </c>
      <c r="I25" s="11">
        <v>4.2999999999999997E-2</v>
      </c>
      <c r="J25" s="11">
        <v>4.4999999999999998E-2</v>
      </c>
      <c r="K25" s="11">
        <v>4.2999999999999997E-2</v>
      </c>
      <c r="L25" s="11">
        <v>4.3999999999999997E-2</v>
      </c>
      <c r="M25" s="11">
        <v>4.3999999999999997E-2</v>
      </c>
      <c r="N25" s="11">
        <v>-3.0000000000000001E-3</v>
      </c>
      <c r="O25" s="12">
        <v>560</v>
      </c>
      <c r="Q25" s="9">
        <v>2.077</v>
      </c>
      <c r="R25" s="9">
        <v>2.1659999999999999</v>
      </c>
    </row>
    <row r="26" spans="1:20">
      <c r="B26" s="7" t="s">
        <v>26</v>
      </c>
      <c r="C26" s="13">
        <v>0.46400000000000002</v>
      </c>
      <c r="D26" s="13">
        <v>0.47699999999999998</v>
      </c>
      <c r="E26" s="9">
        <v>2.077</v>
      </c>
      <c r="F26" s="9">
        <v>2.1659999999999999</v>
      </c>
      <c r="G26" s="11">
        <v>-3.0000000000000001E-3</v>
      </c>
      <c r="H26" s="13">
        <v>0.51</v>
      </c>
      <c r="I26" s="13">
        <v>0.54900000000000004</v>
      </c>
      <c r="J26" s="8">
        <v>0.70499999999999996</v>
      </c>
      <c r="K26" s="8">
        <v>0.73</v>
      </c>
      <c r="L26" s="14">
        <v>1.0129999999999999</v>
      </c>
      <c r="M26" s="14">
        <v>1.0149999999999999</v>
      </c>
      <c r="N26" s="11">
        <v>-3.0000000000000001E-3</v>
      </c>
      <c r="O26" s="12">
        <v>560</v>
      </c>
      <c r="Q26" s="16">
        <v>1.7549999999999999</v>
      </c>
      <c r="R26" s="9">
        <v>2.1880000000000002</v>
      </c>
      <c r="S26">
        <v>1.3</v>
      </c>
      <c r="T26">
        <f t="shared" ref="T25:T39" si="0">(Q26+R26)/2</f>
        <v>1.9715</v>
      </c>
    </row>
    <row r="27" spans="1:20">
      <c r="B27" s="7" t="s">
        <v>27</v>
      </c>
      <c r="C27" s="15">
        <v>0.29399999999999998</v>
      </c>
      <c r="D27" s="15">
        <v>0.31</v>
      </c>
      <c r="E27" s="16">
        <v>1.7549999999999999</v>
      </c>
      <c r="F27" s="9">
        <v>2.1880000000000002</v>
      </c>
      <c r="G27" s="11">
        <v>-3.0000000000000001E-3</v>
      </c>
      <c r="H27" s="17">
        <v>1.357</v>
      </c>
      <c r="I27" s="18">
        <v>1.2929999999999999</v>
      </c>
      <c r="J27" s="16">
        <v>1.615</v>
      </c>
      <c r="K27" s="16">
        <v>1.633</v>
      </c>
      <c r="L27" s="19">
        <v>2.3090000000000002</v>
      </c>
      <c r="M27" s="19">
        <v>2.2999999999999998</v>
      </c>
      <c r="N27" s="11">
        <v>-3.0000000000000001E-3</v>
      </c>
      <c r="O27" s="12">
        <v>560</v>
      </c>
      <c r="Q27" s="16">
        <v>1.7769999999999999</v>
      </c>
      <c r="R27" s="16">
        <v>1.63</v>
      </c>
      <c r="S27">
        <v>1.1000000000000001</v>
      </c>
      <c r="T27">
        <f t="shared" si="0"/>
        <v>1.7035</v>
      </c>
    </row>
    <row r="28" spans="1:20">
      <c r="B28" s="7" t="s">
        <v>28</v>
      </c>
      <c r="C28" s="11">
        <v>0.182</v>
      </c>
      <c r="D28" s="11">
        <v>0.19800000000000001</v>
      </c>
      <c r="E28" s="16">
        <v>1.7769999999999999</v>
      </c>
      <c r="F28" s="16">
        <v>1.63</v>
      </c>
      <c r="G28" s="11">
        <v>-3.0000000000000001E-3</v>
      </c>
      <c r="H28" s="19">
        <v>2.38</v>
      </c>
      <c r="I28" s="10">
        <v>2.669</v>
      </c>
      <c r="J28" s="20">
        <v>3.03</v>
      </c>
      <c r="K28" s="20">
        <v>3.1659999999999999</v>
      </c>
      <c r="L28" s="21" t="s">
        <v>29</v>
      </c>
      <c r="M28" s="21" t="s">
        <v>29</v>
      </c>
      <c r="N28" s="11">
        <v>-3.0000000000000001E-3</v>
      </c>
      <c r="O28" s="12">
        <v>560</v>
      </c>
      <c r="Q28" s="17">
        <v>1.52</v>
      </c>
      <c r="R28" s="17">
        <v>1.403</v>
      </c>
      <c r="S28">
        <v>0.9</v>
      </c>
      <c r="T28">
        <f t="shared" si="0"/>
        <v>1.4615</v>
      </c>
    </row>
    <row r="29" spans="1:20">
      <c r="B29" s="7" t="s">
        <v>30</v>
      </c>
      <c r="C29" s="11">
        <v>0.11700000000000001</v>
      </c>
      <c r="D29" s="11">
        <v>0.11899999999999999</v>
      </c>
      <c r="E29" s="17">
        <v>1.52</v>
      </c>
      <c r="F29" s="17">
        <v>1.403</v>
      </c>
      <c r="G29" s="11">
        <v>-3.0000000000000001E-3</v>
      </c>
      <c r="H29" s="11">
        <v>4.2999999999999997E-2</v>
      </c>
      <c r="I29" s="11">
        <v>4.7E-2</v>
      </c>
      <c r="J29" s="11">
        <v>4.2999999999999997E-2</v>
      </c>
      <c r="K29" s="11">
        <v>4.3999999999999997E-2</v>
      </c>
      <c r="L29" s="11">
        <v>4.3999999999999997E-2</v>
      </c>
      <c r="M29" s="11">
        <v>4.2999999999999997E-2</v>
      </c>
      <c r="N29" s="11">
        <v>-3.0000000000000001E-3</v>
      </c>
      <c r="O29" s="12">
        <v>560</v>
      </c>
      <c r="Q29" s="17">
        <v>1.3660000000000001</v>
      </c>
      <c r="R29" s="18">
        <v>1.353</v>
      </c>
      <c r="S29">
        <v>0.8</v>
      </c>
      <c r="T29">
        <f t="shared" si="0"/>
        <v>1.3595000000000002</v>
      </c>
    </row>
    <row r="30" spans="1:20">
      <c r="B30" s="7" t="s">
        <v>31</v>
      </c>
      <c r="C30" s="11">
        <v>8.2000000000000003E-2</v>
      </c>
      <c r="D30" s="11">
        <v>8.2000000000000003E-2</v>
      </c>
      <c r="E30" s="17">
        <v>1.3660000000000001</v>
      </c>
      <c r="F30" s="18">
        <v>1.353</v>
      </c>
      <c r="G30" s="11">
        <v>-3.0000000000000001E-3</v>
      </c>
      <c r="H30" s="19">
        <v>2.4340000000000002</v>
      </c>
      <c r="I30" s="9">
        <v>2.1219999999999999</v>
      </c>
      <c r="J30" s="15">
        <v>0.44800000000000001</v>
      </c>
      <c r="K30" s="15">
        <v>0.42</v>
      </c>
      <c r="L30" s="15">
        <v>0.26400000000000001</v>
      </c>
      <c r="M30" s="15">
        <v>0.27700000000000002</v>
      </c>
      <c r="N30" s="11">
        <v>-3.0000000000000001E-3</v>
      </c>
      <c r="O30" s="12">
        <v>560</v>
      </c>
      <c r="Q30" s="18">
        <v>1.1950000000000001</v>
      </c>
      <c r="R30" s="18">
        <v>1.2609999999999999</v>
      </c>
      <c r="S30">
        <v>0.7</v>
      </c>
      <c r="T30">
        <f t="shared" si="0"/>
        <v>1.228</v>
      </c>
    </row>
    <row r="31" spans="1:20">
      <c r="B31" s="7" t="s">
        <v>32</v>
      </c>
      <c r="C31" s="11">
        <v>7.2999999999999995E-2</v>
      </c>
      <c r="D31" s="11">
        <v>6.8000000000000005E-2</v>
      </c>
      <c r="E31" s="18">
        <v>1.1950000000000001</v>
      </c>
      <c r="F31" s="18">
        <v>1.2609999999999999</v>
      </c>
      <c r="G31" s="11">
        <v>-3.0000000000000001E-3</v>
      </c>
      <c r="H31" s="21" t="s">
        <v>29</v>
      </c>
      <c r="I31" s="21" t="s">
        <v>29</v>
      </c>
      <c r="J31" s="14">
        <v>1.0309999999999999</v>
      </c>
      <c r="K31" s="14">
        <v>0.95099999999999996</v>
      </c>
      <c r="L31" s="13">
        <v>0.64200000000000002</v>
      </c>
      <c r="M31" s="13">
        <v>0.61199999999999999</v>
      </c>
      <c r="N31" s="11">
        <v>-3.0000000000000001E-3</v>
      </c>
      <c r="O31" s="12">
        <v>560</v>
      </c>
      <c r="Q31" s="14">
        <v>1.026</v>
      </c>
      <c r="R31" s="14">
        <v>1.0669999999999999</v>
      </c>
      <c r="S31">
        <v>0.6</v>
      </c>
      <c r="T31">
        <f t="shared" si="0"/>
        <v>1.0465</v>
      </c>
    </row>
    <row r="32" spans="1:20">
      <c r="B32" s="7" t="s">
        <v>33</v>
      </c>
      <c r="C32" s="11">
        <v>5.1999999999999998E-2</v>
      </c>
      <c r="D32" s="11">
        <v>5.1999999999999998E-2</v>
      </c>
      <c r="E32" s="14">
        <v>1.026</v>
      </c>
      <c r="F32" s="14">
        <v>1.0669999999999999</v>
      </c>
      <c r="G32" s="11">
        <v>-3.0000000000000001E-3</v>
      </c>
      <c r="H32" s="21" t="s">
        <v>29</v>
      </c>
      <c r="I32" s="21" t="s">
        <v>29</v>
      </c>
      <c r="J32" s="16">
        <v>1.74</v>
      </c>
      <c r="K32" s="22">
        <v>1.8109999999999999</v>
      </c>
      <c r="L32" s="14">
        <v>1.0680000000000001</v>
      </c>
      <c r="M32" s="18">
        <v>1.1419999999999999</v>
      </c>
      <c r="N32" s="11">
        <v>-3.0000000000000001E-3</v>
      </c>
      <c r="O32" s="12">
        <v>560</v>
      </c>
      <c r="Q32" s="8">
        <v>0.82</v>
      </c>
      <c r="R32" s="8">
        <v>0.79</v>
      </c>
      <c r="S32">
        <v>0.4</v>
      </c>
      <c r="T32">
        <f t="shared" si="0"/>
        <v>0.80499999999999994</v>
      </c>
    </row>
    <row r="33" spans="17:20">
      <c r="Q33" s="13">
        <v>0.46400000000000002</v>
      </c>
      <c r="R33" s="13">
        <v>0.47699999999999998</v>
      </c>
      <c r="S33">
        <v>0.2</v>
      </c>
      <c r="T33">
        <f t="shared" si="0"/>
        <v>0.47050000000000003</v>
      </c>
    </row>
    <row r="34" spans="17:20">
      <c r="Q34" s="15">
        <v>0.29399999999999998</v>
      </c>
      <c r="R34" s="15">
        <v>0.31</v>
      </c>
      <c r="S34">
        <v>0.1</v>
      </c>
      <c r="T34">
        <f t="shared" si="0"/>
        <v>0.30199999999999999</v>
      </c>
    </row>
    <row r="35" spans="17:20">
      <c r="Q35" s="11">
        <v>0.182</v>
      </c>
      <c r="R35" s="11">
        <v>0.19800000000000001</v>
      </c>
    </row>
    <row r="36" spans="17:20">
      <c r="Q36" s="11">
        <v>0.11700000000000001</v>
      </c>
      <c r="R36" s="11">
        <v>0.11899999999999999</v>
      </c>
    </row>
    <row r="37" spans="17:20">
      <c r="Q37" s="11">
        <v>8.2000000000000003E-2</v>
      </c>
      <c r="R37" s="11">
        <v>8.2000000000000003E-2</v>
      </c>
    </row>
    <row r="38" spans="17:20">
      <c r="Q38" s="11">
        <v>7.2999999999999995E-2</v>
      </c>
      <c r="R38" s="11">
        <v>6.8000000000000005E-2</v>
      </c>
    </row>
    <row r="39" spans="17:20">
      <c r="Q39" s="11">
        <v>5.1999999999999998E-2</v>
      </c>
      <c r="R39" s="11">
        <v>5.1999999999999998E-2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