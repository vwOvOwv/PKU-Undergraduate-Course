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-32140656</definedName>
    <definedName name="MethodPointer2">547</definedName>
  </definedNames>
  <calcPr calcId="124519"/>
</workbook>
</file>

<file path=xl/calcChain.xml><?xml version="1.0" encoding="utf-8"?>
<calcChain xmlns="http://schemas.openxmlformats.org/spreadsheetml/2006/main">
  <c r="T26" i="1"/>
  <c r="T27"/>
  <c r="T28"/>
  <c r="T29"/>
  <c r="T30"/>
  <c r="T31"/>
  <c r="T32"/>
  <c r="T33"/>
  <c r="T34"/>
  <c r="T36"/>
  <c r="T37"/>
  <c r="T38"/>
  <c r="T39"/>
  <c r="T24"/>
</calcChain>
</file>

<file path=xl/sharedStrings.xml><?xml version="1.0" encoding="utf-8"?>
<sst xmlns="http://schemas.openxmlformats.org/spreadsheetml/2006/main" count="39" uniqueCount="34">
  <si>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</si>
  <si>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</si>
  <si>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</si>
  <si>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周五三组正式实验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-7-4.xpt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</si>
  <si>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</si>
  <si>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</si>
  <si>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</si>
  <si>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</si>
  <si>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</si>
  <si>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</si>
  <si>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</si>
  <si>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</si>
  <si>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</si>
  <si>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</si>
  <si>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</si>
  <si>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</si>
  <si>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</si>
  <si>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</si>
  <si>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</si>
  <si>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</si>
  <si>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</si>
  <si>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</si>
  <si>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</si>
  <si>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</si>
  <si>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</si>
  <si>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</si>
  <si>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</si>
  <si>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</si>
  <si>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</si>
  <si>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OVRFLW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</si>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</sst>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7.761329833770779E-2"/>
          <c:y val="5.1400554097404488E-2"/>
          <c:w val="0.70126181102362206"/>
          <c:h val="0.79822506561679785"/>
        </c:manualLayout>
      </c:layout>
      <c:scatterChart>
        <c:scatterStyle val="smoothMarker"/>
        <c:ser>
          <c:idx val="0"/>
          <c:order val="0"/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Sheet1'!$S$24:$S$39</c:f>
              <c:numCache>
                <c:formatCode>General</c:formatCode>
                <c:ptCount val="16"/>
                <c:pt idx="0">
                  <c:v>1.6</c:v>
                </c:pt>
                <c:pt idx="2">
                  <c:v>1.3</c:v>
                </c:pt>
                <c:pt idx="3">
                  <c:v>1.1000000000000001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0.4</c:v>
                </c:pt>
                <c:pt idx="9">
                  <c:v>0.2</c:v>
                </c:pt>
                <c:pt idx="10">
                  <c:v>0.1</c:v>
                </c:pt>
                <c:pt idx="12">
                  <c:v>0.04</c:v>
                </c:pt>
                <c:pt idx="13">
                  <c:v>0.02</c:v>
                </c:pt>
                <c:pt idx="14">
                  <c:v>0.01</c:v>
                </c:pt>
                <c:pt idx="15">
                  <c:v>0</c:v>
                </c:pt>
              </c:numCache>
            </c:numRef>
          </c:xVal>
          <c:yVal>
            <c:numRef>
              <c:f>'板 1 - Sheet1'!$T$24:$T$39</c:f>
              <c:numCache>
                <c:formatCode>General</c:formatCode>
                <c:ptCount val="16"/>
                <c:pt idx="0">
                  <c:v>2.5720000000000001</c:v>
                </c:pt>
                <c:pt idx="2">
                  <c:v>2.0724999999999998</c:v>
                </c:pt>
                <c:pt idx="3">
                  <c:v>1.8185</c:v>
                </c:pt>
                <c:pt idx="4">
                  <c:v>1.569</c:v>
                </c:pt>
                <c:pt idx="5">
                  <c:v>1.4159999999999999</c:v>
                </c:pt>
                <c:pt idx="6">
                  <c:v>1.3245</c:v>
                </c:pt>
                <c:pt idx="7">
                  <c:v>1.1345000000000001</c:v>
                </c:pt>
                <c:pt idx="8">
                  <c:v>0.85899999999999999</c:v>
                </c:pt>
                <c:pt idx="9">
                  <c:v>0.4965</c:v>
                </c:pt>
                <c:pt idx="10">
                  <c:v>0.316</c:v>
                </c:pt>
                <c:pt idx="12">
                  <c:v>0.11749999999999999</c:v>
                </c:pt>
                <c:pt idx="13">
                  <c:v>8.2000000000000003E-2</c:v>
                </c:pt>
                <c:pt idx="14">
                  <c:v>6.9500000000000006E-2</c:v>
                </c:pt>
                <c:pt idx="15">
                  <c:v>5.1999999999999998E-2</c:v>
                </c:pt>
              </c:numCache>
            </c:numRef>
          </c:yVal>
          <c:smooth val="1"/>
        </c:ser>
        <c:axId val="68556672"/>
        <c:axId val="68555136"/>
      </c:scatterChart>
      <c:valAx>
        <c:axId val="68556672"/>
        <c:scaling>
          <c:orientation val="minMax"/>
        </c:scaling>
        <c:axPos val="b"/>
        <c:numFmt formatCode="General" sourceLinked="1"/>
        <c:tickLblPos val="nextTo"/>
        <c:crossAx val="68555136"/>
        <c:crosses val="autoZero"/>
        <c:crossBetween val="midCat"/>
      </c:valAx>
      <c:valAx>
        <c:axId val="68555136"/>
        <c:scaling>
          <c:orientation val="minMax"/>
        </c:scaling>
        <c:axPos val="l"/>
        <c:majorGridlines/>
        <c:numFmt formatCode="General" sourceLinked="1"/>
        <c:tickLblPos val="nextTo"/>
        <c:crossAx val="685566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10</xdr:row>
      <xdr:rowOff>47625</xdr:rowOff>
    </xdr:from>
    <xdr:to>
      <xdr:col>12</xdr:col>
      <xdr:colOff>552450</xdr:colOff>
      <xdr:row>27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39"/>
  <sheetViews>
    <sheetView tabSelected="1" workbookViewId="0">
      <selection activeCell="T12" sqref="T12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45626</v>
      </c>
    </row>
    <row r="8" spans="1:2">
      <c r="A8" s="1" t="s">
        <v>8</v>
      </c>
      <c r="B8" s="3">
        <v>0.7169444444444445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20">
      <c r="B17" s="1" t="s">
        <v>20</v>
      </c>
    </row>
    <row r="18" spans="1:20">
      <c r="B18" s="1" t="s">
        <v>21</v>
      </c>
    </row>
    <row r="19" spans="1:20">
      <c r="B19" s="1" t="s">
        <v>22</v>
      </c>
    </row>
    <row r="21" spans="1:20">
      <c r="A21" s="4" t="s">
        <v>23</v>
      </c>
      <c r="B21" s="5"/>
    </row>
    <row r="22" spans="1:20">
      <c r="A22" s="1" t="s">
        <v>24</v>
      </c>
      <c r="B22">
        <v>24.2</v>
      </c>
    </row>
    <row r="24" spans="1:20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9">
        <v>2.3559999999999999</v>
      </c>
      <c r="R24" s="10">
        <v>2.7879999999999998</v>
      </c>
      <c r="S24">
        <v>1.6</v>
      </c>
      <c r="T24">
        <f>(Q24+R24)/2</f>
        <v>2.5720000000000001</v>
      </c>
    </row>
    <row r="25" spans="1:20">
      <c r="B25" s="7" t="s">
        <v>25</v>
      </c>
      <c r="C25" s="8">
        <v>0.874</v>
      </c>
      <c r="D25" s="8">
        <v>0.84399999999999997</v>
      </c>
      <c r="E25" s="9">
        <v>2.3559999999999999</v>
      </c>
      <c r="F25" s="10">
        <v>2.7879999999999998</v>
      </c>
      <c r="G25" s="11">
        <v>-3.0000000000000001E-3</v>
      </c>
      <c r="H25" s="11">
        <v>4.2999999999999997E-2</v>
      </c>
      <c r="I25" s="11">
        <v>4.2999999999999997E-2</v>
      </c>
      <c r="J25" s="11">
        <v>4.3999999999999997E-2</v>
      </c>
      <c r="K25" s="11">
        <v>4.2999999999999997E-2</v>
      </c>
      <c r="L25" s="11">
        <v>4.3999999999999997E-2</v>
      </c>
      <c r="M25" s="11">
        <v>4.3999999999999997E-2</v>
      </c>
      <c r="N25" s="11">
        <v>-3.0000000000000001E-3</v>
      </c>
      <c r="O25" s="12">
        <v>560</v>
      </c>
      <c r="Q25" s="14">
        <v>2.2370000000000001</v>
      </c>
      <c r="R25" s="14">
        <v>2.3079999999999998</v>
      </c>
    </row>
    <row r="26" spans="1:20">
      <c r="B26" s="7" t="s">
        <v>26</v>
      </c>
      <c r="C26" s="13">
        <v>0.50600000000000001</v>
      </c>
      <c r="D26" s="13">
        <v>0.48699999999999999</v>
      </c>
      <c r="E26" s="14">
        <v>2.2370000000000001</v>
      </c>
      <c r="F26" s="14">
        <v>2.3079999999999998</v>
      </c>
      <c r="G26" s="11">
        <v>-3.0000000000000001E-3</v>
      </c>
      <c r="H26" s="13">
        <v>0.54200000000000004</v>
      </c>
      <c r="I26" s="13">
        <v>0.57199999999999995</v>
      </c>
      <c r="J26" s="8">
        <v>0.73099999999999998</v>
      </c>
      <c r="K26" s="8">
        <v>0.751</v>
      </c>
      <c r="L26" s="15">
        <v>1.046</v>
      </c>
      <c r="M26" s="15">
        <v>1.048</v>
      </c>
      <c r="N26" s="11">
        <v>-3.0000000000000001E-3</v>
      </c>
      <c r="O26" s="12">
        <v>560</v>
      </c>
      <c r="Q26" s="17">
        <v>1.8819999999999999</v>
      </c>
      <c r="R26" s="14">
        <v>2.2629999999999999</v>
      </c>
      <c r="S26">
        <v>1.3</v>
      </c>
      <c r="T26">
        <f t="shared" ref="T25:T39" si="0">(Q26+R26)/2</f>
        <v>2.0724999999999998</v>
      </c>
    </row>
    <row r="27" spans="1:20">
      <c r="B27" s="7" t="s">
        <v>27</v>
      </c>
      <c r="C27" s="16">
        <v>0.315</v>
      </c>
      <c r="D27" s="16">
        <v>0.317</v>
      </c>
      <c r="E27" s="17">
        <v>1.8819999999999999</v>
      </c>
      <c r="F27" s="14">
        <v>2.2629999999999999</v>
      </c>
      <c r="G27" s="11">
        <v>-3.0000000000000001E-3</v>
      </c>
      <c r="H27" s="18">
        <v>1.4119999999999999</v>
      </c>
      <c r="I27" s="19">
        <v>1.363</v>
      </c>
      <c r="J27" s="20">
        <v>1.6739999999999999</v>
      </c>
      <c r="K27" s="20">
        <v>1.6879999999999999</v>
      </c>
      <c r="L27" s="9">
        <v>2.3650000000000002</v>
      </c>
      <c r="M27" s="9">
        <v>2.3679999999999999</v>
      </c>
      <c r="N27" s="11">
        <v>-3.0000000000000001E-3</v>
      </c>
      <c r="O27" s="12">
        <v>560</v>
      </c>
      <c r="Q27" s="17">
        <v>1.891</v>
      </c>
      <c r="R27" s="20">
        <v>1.746</v>
      </c>
      <c r="S27">
        <v>1.1000000000000001</v>
      </c>
      <c r="T27">
        <f t="shared" si="0"/>
        <v>1.8185</v>
      </c>
    </row>
    <row r="28" spans="1:20">
      <c r="B28" s="7" t="s">
        <v>28</v>
      </c>
      <c r="C28" s="11">
        <v>0.189</v>
      </c>
      <c r="D28" s="11">
        <v>0.20300000000000001</v>
      </c>
      <c r="E28" s="17">
        <v>1.891</v>
      </c>
      <c r="F28" s="20">
        <v>1.746</v>
      </c>
      <c r="G28" s="11">
        <v>-3.0000000000000001E-3</v>
      </c>
      <c r="H28" s="9">
        <v>2.4889999999999999</v>
      </c>
      <c r="I28" s="10">
        <v>2.7909999999999999</v>
      </c>
      <c r="J28" s="21">
        <v>3.1190000000000002</v>
      </c>
      <c r="K28" s="21">
        <v>3.2730000000000001</v>
      </c>
      <c r="L28" s="22" t="s">
        <v>29</v>
      </c>
      <c r="M28" s="22" t="s">
        <v>29</v>
      </c>
      <c r="N28" s="11">
        <v>-3.0000000000000001E-3</v>
      </c>
      <c r="O28" s="12">
        <v>560</v>
      </c>
      <c r="Q28" s="18">
        <v>1.607</v>
      </c>
      <c r="R28" s="18">
        <v>1.5309999999999999</v>
      </c>
      <c r="S28">
        <v>0.9</v>
      </c>
      <c r="T28">
        <f t="shared" si="0"/>
        <v>1.569</v>
      </c>
    </row>
    <row r="29" spans="1:20">
      <c r="B29" s="7" t="s">
        <v>30</v>
      </c>
      <c r="C29" s="11">
        <v>0.11700000000000001</v>
      </c>
      <c r="D29" s="11">
        <v>0.11799999999999999</v>
      </c>
      <c r="E29" s="18">
        <v>1.607</v>
      </c>
      <c r="F29" s="18">
        <v>1.5309999999999999</v>
      </c>
      <c r="G29" s="11">
        <v>-3.0000000000000001E-3</v>
      </c>
      <c r="H29" s="11">
        <v>4.2999999999999997E-2</v>
      </c>
      <c r="I29" s="11">
        <v>4.7E-2</v>
      </c>
      <c r="J29" s="11">
        <v>4.2999999999999997E-2</v>
      </c>
      <c r="K29" s="11">
        <v>4.3999999999999997E-2</v>
      </c>
      <c r="L29" s="11">
        <v>4.4999999999999998E-2</v>
      </c>
      <c r="M29" s="11">
        <v>4.2999999999999997E-2</v>
      </c>
      <c r="N29" s="11">
        <v>-3.0000000000000001E-3</v>
      </c>
      <c r="O29" s="12">
        <v>560</v>
      </c>
      <c r="Q29" s="18">
        <v>1.4410000000000001</v>
      </c>
      <c r="R29" s="19">
        <v>1.391</v>
      </c>
      <c r="S29">
        <v>0.8</v>
      </c>
      <c r="T29">
        <f t="shared" si="0"/>
        <v>1.4159999999999999</v>
      </c>
    </row>
    <row r="30" spans="1:20">
      <c r="B30" s="7" t="s">
        <v>31</v>
      </c>
      <c r="C30" s="11">
        <v>8.3000000000000004E-2</v>
      </c>
      <c r="D30" s="11">
        <v>8.1000000000000003E-2</v>
      </c>
      <c r="E30" s="18">
        <v>1.4410000000000001</v>
      </c>
      <c r="F30" s="19">
        <v>1.391</v>
      </c>
      <c r="G30" s="11">
        <v>-3.0000000000000001E-3</v>
      </c>
      <c r="H30" s="9">
        <v>2.492</v>
      </c>
      <c r="I30" s="14">
        <v>2.2040000000000002</v>
      </c>
      <c r="J30" s="16">
        <v>0.46400000000000002</v>
      </c>
      <c r="K30" s="16">
        <v>0.436</v>
      </c>
      <c r="L30" s="16">
        <v>0.26800000000000002</v>
      </c>
      <c r="M30" s="16">
        <v>0.28299999999999997</v>
      </c>
      <c r="N30" s="11">
        <v>-3.0000000000000001E-3</v>
      </c>
      <c r="O30" s="12">
        <v>560</v>
      </c>
      <c r="Q30" s="19">
        <v>1.306</v>
      </c>
      <c r="R30" s="19">
        <v>1.343</v>
      </c>
      <c r="S30">
        <v>0.7</v>
      </c>
      <c r="T30">
        <f t="shared" si="0"/>
        <v>1.3245</v>
      </c>
    </row>
    <row r="31" spans="1:20">
      <c r="B31" s="7" t="s">
        <v>32</v>
      </c>
      <c r="C31" s="11">
        <v>7.1999999999999995E-2</v>
      </c>
      <c r="D31" s="11">
        <v>6.7000000000000004E-2</v>
      </c>
      <c r="E31" s="19">
        <v>1.306</v>
      </c>
      <c r="F31" s="19">
        <v>1.343</v>
      </c>
      <c r="G31" s="11">
        <v>-3.0000000000000001E-3</v>
      </c>
      <c r="H31" s="22" t="s">
        <v>29</v>
      </c>
      <c r="I31" s="22" t="s">
        <v>29</v>
      </c>
      <c r="J31" s="15">
        <v>1.089</v>
      </c>
      <c r="K31" s="15">
        <v>1.006</v>
      </c>
      <c r="L31" s="13">
        <v>0.66800000000000004</v>
      </c>
      <c r="M31" s="13">
        <v>0.63800000000000001</v>
      </c>
      <c r="N31" s="11">
        <v>-3.0000000000000001E-3</v>
      </c>
      <c r="O31" s="12">
        <v>560</v>
      </c>
      <c r="Q31" s="15">
        <v>1.101</v>
      </c>
      <c r="R31" s="19">
        <v>1.1679999999999999</v>
      </c>
      <c r="S31">
        <v>0.6</v>
      </c>
      <c r="T31">
        <f t="shared" si="0"/>
        <v>1.1345000000000001</v>
      </c>
    </row>
    <row r="32" spans="1:20">
      <c r="B32" s="7" t="s">
        <v>33</v>
      </c>
      <c r="C32" s="11">
        <v>5.0999999999999997E-2</v>
      </c>
      <c r="D32" s="11">
        <v>5.2999999999999999E-2</v>
      </c>
      <c r="E32" s="15">
        <v>1.101</v>
      </c>
      <c r="F32" s="19">
        <v>1.1679999999999999</v>
      </c>
      <c r="G32" s="11">
        <v>-3.0000000000000001E-3</v>
      </c>
      <c r="H32" s="22" t="s">
        <v>29</v>
      </c>
      <c r="I32" s="22" t="s">
        <v>29</v>
      </c>
      <c r="J32" s="20">
        <v>1.853</v>
      </c>
      <c r="K32" s="17">
        <v>1.9339999999999999</v>
      </c>
      <c r="L32" s="15">
        <v>1.147</v>
      </c>
      <c r="M32" s="19">
        <v>1.224</v>
      </c>
      <c r="N32" s="11">
        <v>-3.0000000000000001E-3</v>
      </c>
      <c r="O32" s="12">
        <v>560</v>
      </c>
      <c r="Q32" s="8">
        <v>0.874</v>
      </c>
      <c r="R32" s="8">
        <v>0.84399999999999997</v>
      </c>
      <c r="S32">
        <v>0.4</v>
      </c>
      <c r="T32">
        <f t="shared" si="0"/>
        <v>0.85899999999999999</v>
      </c>
    </row>
    <row r="33" spans="17:20">
      <c r="Q33" s="13">
        <v>0.50600000000000001</v>
      </c>
      <c r="R33" s="13">
        <v>0.48699999999999999</v>
      </c>
      <c r="S33">
        <v>0.2</v>
      </c>
      <c r="T33">
        <f t="shared" si="0"/>
        <v>0.4965</v>
      </c>
    </row>
    <row r="34" spans="17:20">
      <c r="Q34" s="16">
        <v>0.315</v>
      </c>
      <c r="R34" s="16">
        <v>0.317</v>
      </c>
      <c r="S34">
        <v>0.1</v>
      </c>
      <c r="T34">
        <f t="shared" si="0"/>
        <v>0.316</v>
      </c>
    </row>
    <row r="35" spans="17:20">
      <c r="Q35" s="11">
        <v>0.189</v>
      </c>
      <c r="R35" s="11">
        <v>0.20300000000000001</v>
      </c>
    </row>
    <row r="36" spans="17:20">
      <c r="Q36" s="11">
        <v>0.11700000000000001</v>
      </c>
      <c r="R36" s="11">
        <v>0.11799999999999999</v>
      </c>
      <c r="S36">
        <v>0.04</v>
      </c>
      <c r="T36">
        <f t="shared" si="0"/>
        <v>0.11749999999999999</v>
      </c>
    </row>
    <row r="37" spans="17:20">
      <c r="Q37" s="11">
        <v>8.3000000000000004E-2</v>
      </c>
      <c r="R37" s="11">
        <v>8.1000000000000003E-2</v>
      </c>
      <c r="S37">
        <v>0.02</v>
      </c>
      <c r="T37">
        <f t="shared" si="0"/>
        <v>8.2000000000000003E-2</v>
      </c>
    </row>
    <row r="38" spans="17:20">
      <c r="Q38" s="11">
        <v>7.1999999999999995E-2</v>
      </c>
      <c r="R38" s="11">
        <v>6.7000000000000004E-2</v>
      </c>
      <c r="S38">
        <v>0.01</v>
      </c>
      <c r="T38">
        <f t="shared" si="0"/>
        <v>6.9500000000000006E-2</v>
      </c>
    </row>
    <row r="39" spans="17:20">
      <c r="Q39" s="11">
        <v>5.0999999999999997E-2</v>
      </c>
      <c r="R39" s="11">
        <v>5.2999999999999999E-2</v>
      </c>
      <c r="S39">
        <v>0</v>
      </c>
      <c r="T39">
        <f t="shared" si="0"/>
        <v>5.1999999999999998E-2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2024-11-30T09:18:21Z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