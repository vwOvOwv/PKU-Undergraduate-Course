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-8260832</definedName>
    <definedName name="MethodPointer2">593</definedName>
  </definedNames>
  <calcPr calcId="124519"/>
</workbook>
</file>

<file path=xl/calcChain.xml><?xml version="1.0" encoding="utf-8"?>
<calcChain xmlns="http://schemas.openxmlformats.org/spreadsheetml/2006/main">
  <c r="U26" i="1"/>
  <c r="U27"/>
  <c r="U28"/>
  <c r="U29"/>
  <c r="U30"/>
  <c r="U31"/>
  <c r="U32"/>
  <c r="U33"/>
  <c r="U34"/>
  <c r="U35"/>
  <c r="U36"/>
  <c r="U37"/>
  <c r="U38"/>
  <c r="U39"/>
  <c r="U24"/>
</calcChain>
</file>

<file path=xl/sharedStrings.xml><?xml version="1.0" encoding="utf-8"?>
<sst xmlns="http://schemas.openxmlformats.org/spreadsheetml/2006/main" count="39" uniqueCount="34">
  <si>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</si>
  <si>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</si>
  <si>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</si>
  <si>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-7-2.xpt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</si>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</sst>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Sheet1'!$T$24:$T$39</c:f>
              <c:numCache>
                <c:formatCode>General</c:formatCode>
                <c:ptCount val="16"/>
                <c:pt idx="0">
                  <c:v>1.6</c:v>
                </c:pt>
                <c:pt idx="2">
                  <c:v>1.3</c:v>
                </c:pt>
                <c:pt idx="3">
                  <c:v>1.1000000000000001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0.6</c:v>
                </c:pt>
                <c:pt idx="8">
                  <c:v>0.4</c:v>
                </c:pt>
                <c:pt idx="9">
                  <c:v>0.2</c:v>
                </c:pt>
                <c:pt idx="10">
                  <c:v>0.1</c:v>
                </c:pt>
                <c:pt idx="11">
                  <c:v>0.08</c:v>
                </c:pt>
                <c:pt idx="12">
                  <c:v>0.04</c:v>
                </c:pt>
                <c:pt idx="13">
                  <c:v>0.02</c:v>
                </c:pt>
                <c:pt idx="14">
                  <c:v>0.01</c:v>
                </c:pt>
                <c:pt idx="15">
                  <c:v>0</c:v>
                </c:pt>
              </c:numCache>
            </c:numRef>
          </c:xVal>
          <c:yVal>
            <c:numRef>
              <c:f>'板 1 - Sheet1'!$U$24:$U$39</c:f>
              <c:numCache>
                <c:formatCode>General</c:formatCode>
                <c:ptCount val="16"/>
                <c:pt idx="0">
                  <c:v>2.419</c:v>
                </c:pt>
                <c:pt idx="2">
                  <c:v>1.9104999999999999</c:v>
                </c:pt>
                <c:pt idx="3">
                  <c:v>1.655</c:v>
                </c:pt>
                <c:pt idx="4">
                  <c:v>1.4075</c:v>
                </c:pt>
                <c:pt idx="5">
                  <c:v>1.3305</c:v>
                </c:pt>
                <c:pt idx="6">
                  <c:v>1.1785000000000001</c:v>
                </c:pt>
                <c:pt idx="7">
                  <c:v>1</c:v>
                </c:pt>
                <c:pt idx="8">
                  <c:v>0.77300000000000002</c:v>
                </c:pt>
                <c:pt idx="9">
                  <c:v>0.45800000000000002</c:v>
                </c:pt>
                <c:pt idx="10">
                  <c:v>0.29749999999999999</c:v>
                </c:pt>
                <c:pt idx="11">
                  <c:v>0.1865</c:v>
                </c:pt>
                <c:pt idx="12">
                  <c:v>0.11749999999999999</c:v>
                </c:pt>
                <c:pt idx="13">
                  <c:v>8.2000000000000003E-2</c:v>
                </c:pt>
                <c:pt idx="14">
                  <c:v>7.0000000000000007E-2</c:v>
                </c:pt>
                <c:pt idx="15">
                  <c:v>5.1000000000000004E-2</c:v>
                </c:pt>
              </c:numCache>
            </c:numRef>
          </c:yVal>
          <c:smooth val="1"/>
        </c:ser>
        <c:axId val="141600640"/>
        <c:axId val="141599104"/>
      </c:scatterChart>
      <c:valAx>
        <c:axId val="141600640"/>
        <c:scaling>
          <c:orientation val="minMax"/>
        </c:scaling>
        <c:axPos val="b"/>
        <c:numFmt formatCode="General" sourceLinked="1"/>
        <c:tickLblPos val="nextTo"/>
        <c:crossAx val="141599104"/>
        <c:crosses val="autoZero"/>
        <c:crossBetween val="midCat"/>
      </c:valAx>
      <c:valAx>
        <c:axId val="141599104"/>
        <c:scaling>
          <c:orientation val="minMax"/>
        </c:scaling>
        <c:axPos val="l"/>
        <c:majorGridlines/>
        <c:numFmt formatCode="General" sourceLinked="1"/>
        <c:tickLblPos val="nextTo"/>
        <c:crossAx val="1416006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15</xdr:row>
      <xdr:rowOff>47625</xdr:rowOff>
    </xdr:from>
    <xdr:to>
      <xdr:col>16</xdr:col>
      <xdr:colOff>590550</xdr:colOff>
      <xdr:row>32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39"/>
  <sheetViews>
    <sheetView tabSelected="1" workbookViewId="0">
      <selection activeCell="T16" sqref="T16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45626</v>
      </c>
    </row>
    <row r="8" spans="1:2">
      <c r="A8" s="1" t="s">
        <v>8</v>
      </c>
      <c r="B8" s="3">
        <v>0.69314814814814818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21">
      <c r="B17" s="1" t="s">
        <v>20</v>
      </c>
    </row>
    <row r="18" spans="1:21">
      <c r="B18" s="1" t="s">
        <v>21</v>
      </c>
    </row>
    <row r="19" spans="1:21">
      <c r="B19" s="1" t="s">
        <v>22</v>
      </c>
    </row>
    <row r="21" spans="1:21">
      <c r="A21" s="4" t="s">
        <v>23</v>
      </c>
      <c r="B21" s="5"/>
    </row>
    <row r="22" spans="1:21">
      <c r="A22" s="1" t="s">
        <v>24</v>
      </c>
      <c r="B22">
        <v>24.4</v>
      </c>
    </row>
    <row r="24" spans="1:21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Q24" s="9">
        <v>2.1379999999999999</v>
      </c>
      <c r="R24" s="10">
        <v>2.7</v>
      </c>
      <c r="T24">
        <v>1.6</v>
      </c>
      <c r="U24">
        <f>(Q24+R24)/2</f>
        <v>2.419</v>
      </c>
    </row>
    <row r="25" spans="1:21">
      <c r="B25" s="7" t="s">
        <v>25</v>
      </c>
      <c r="C25" s="8">
        <v>0.78900000000000003</v>
      </c>
      <c r="D25" s="8">
        <v>0.75700000000000001</v>
      </c>
      <c r="E25" s="9">
        <v>2.1379999999999999</v>
      </c>
      <c r="F25" s="10">
        <v>2.7</v>
      </c>
      <c r="G25" s="11">
        <v>-3.0000000000000001E-3</v>
      </c>
      <c r="H25" s="11">
        <v>4.2999999999999997E-2</v>
      </c>
      <c r="I25" s="11">
        <v>4.2999999999999997E-2</v>
      </c>
      <c r="J25" s="11">
        <v>4.4999999999999998E-2</v>
      </c>
      <c r="K25" s="11">
        <v>4.2999999999999997E-2</v>
      </c>
      <c r="L25" s="11">
        <v>4.3999999999999997E-2</v>
      </c>
      <c r="M25" s="11">
        <v>4.4999999999999998E-2</v>
      </c>
      <c r="N25" s="11">
        <v>-3.0000000000000001E-3</v>
      </c>
      <c r="O25" s="12">
        <v>560</v>
      </c>
      <c r="Q25" s="14">
        <v>1.9750000000000001</v>
      </c>
      <c r="R25" s="9">
        <v>2.1019999999999999</v>
      </c>
    </row>
    <row r="26" spans="1:21">
      <c r="B26" s="7" t="s">
        <v>26</v>
      </c>
      <c r="C26" s="13">
        <v>0.44800000000000001</v>
      </c>
      <c r="D26" s="13">
        <v>0.46800000000000003</v>
      </c>
      <c r="E26" s="14">
        <v>1.9750000000000001</v>
      </c>
      <c r="F26" s="9">
        <v>2.1019999999999999</v>
      </c>
      <c r="G26" s="11">
        <v>-3.0000000000000001E-3</v>
      </c>
      <c r="H26" s="13">
        <v>0.49299999999999999</v>
      </c>
      <c r="I26" s="13">
        <v>0.53700000000000003</v>
      </c>
      <c r="J26" s="8">
        <v>0.69399999999999995</v>
      </c>
      <c r="K26" s="8">
        <v>0.72199999999999998</v>
      </c>
      <c r="L26" s="15">
        <v>1.014</v>
      </c>
      <c r="M26" s="15">
        <v>1.0029999999999999</v>
      </c>
      <c r="N26" s="11">
        <v>-3.0000000000000001E-3</v>
      </c>
      <c r="O26" s="12">
        <v>560</v>
      </c>
      <c r="Q26" s="17">
        <v>1.655</v>
      </c>
      <c r="R26" s="9">
        <v>2.1659999999999999</v>
      </c>
      <c r="T26">
        <v>1.3</v>
      </c>
      <c r="U26">
        <f t="shared" ref="U25:U39" si="0">(Q26+R26)/2</f>
        <v>1.9104999999999999</v>
      </c>
    </row>
    <row r="27" spans="1:21">
      <c r="B27" s="7" t="s">
        <v>27</v>
      </c>
      <c r="C27" s="16">
        <v>0.28799999999999998</v>
      </c>
      <c r="D27" s="16">
        <v>0.307</v>
      </c>
      <c r="E27" s="17">
        <v>1.655</v>
      </c>
      <c r="F27" s="9">
        <v>2.1659999999999999</v>
      </c>
      <c r="G27" s="11">
        <v>-3.0000000000000001E-3</v>
      </c>
      <c r="H27" s="18">
        <v>1.32</v>
      </c>
      <c r="I27" s="18">
        <v>1.2529999999999999</v>
      </c>
      <c r="J27" s="17">
        <v>1.581</v>
      </c>
      <c r="K27" s="17">
        <v>1.593</v>
      </c>
      <c r="L27" s="19">
        <v>2.2829999999999999</v>
      </c>
      <c r="M27" s="19">
        <v>2.2450000000000001</v>
      </c>
      <c r="N27" s="11">
        <v>-3.0000000000000001E-3</v>
      </c>
      <c r="O27" s="12">
        <v>560</v>
      </c>
      <c r="Q27" s="17">
        <v>1.7290000000000001</v>
      </c>
      <c r="R27" s="17">
        <v>1.581</v>
      </c>
      <c r="T27">
        <v>1.1000000000000001</v>
      </c>
      <c r="U27">
        <f t="shared" si="0"/>
        <v>1.655</v>
      </c>
    </row>
    <row r="28" spans="1:21">
      <c r="B28" s="7" t="s">
        <v>28</v>
      </c>
      <c r="C28" s="11">
        <v>0.17799999999999999</v>
      </c>
      <c r="D28" s="11">
        <v>0.19500000000000001</v>
      </c>
      <c r="E28" s="17">
        <v>1.7290000000000001</v>
      </c>
      <c r="F28" s="17">
        <v>1.581</v>
      </c>
      <c r="G28" s="11">
        <v>-3.0000000000000001E-3</v>
      </c>
      <c r="H28" s="19">
        <v>2.2949999999999999</v>
      </c>
      <c r="I28" s="20">
        <v>2.5979999999999999</v>
      </c>
      <c r="J28" s="21">
        <v>2.9630000000000001</v>
      </c>
      <c r="K28" s="21">
        <v>3.085</v>
      </c>
      <c r="L28" s="22" t="s">
        <v>29</v>
      </c>
      <c r="M28" s="22" t="s">
        <v>29</v>
      </c>
      <c r="N28" s="11">
        <v>-3.0000000000000001E-3</v>
      </c>
      <c r="O28" s="12">
        <v>560</v>
      </c>
      <c r="Q28" s="23">
        <v>1.478</v>
      </c>
      <c r="R28" s="23">
        <v>1.337</v>
      </c>
      <c r="T28">
        <v>0.9</v>
      </c>
      <c r="U28">
        <f t="shared" si="0"/>
        <v>1.4075</v>
      </c>
    </row>
    <row r="29" spans="1:21">
      <c r="B29" s="7" t="s">
        <v>30</v>
      </c>
      <c r="C29" s="11">
        <v>0.11600000000000001</v>
      </c>
      <c r="D29" s="11">
        <v>0.11899999999999999</v>
      </c>
      <c r="E29" s="23">
        <v>1.478</v>
      </c>
      <c r="F29" s="23">
        <v>1.337</v>
      </c>
      <c r="G29" s="11">
        <v>-3.0000000000000001E-3</v>
      </c>
      <c r="H29" s="11">
        <v>4.2999999999999997E-2</v>
      </c>
      <c r="I29" s="11">
        <v>4.5999999999999999E-2</v>
      </c>
      <c r="J29" s="11">
        <v>4.2999999999999997E-2</v>
      </c>
      <c r="K29" s="11">
        <v>4.3999999999999997E-2</v>
      </c>
      <c r="L29" s="11">
        <v>4.3999999999999997E-2</v>
      </c>
      <c r="M29" s="11">
        <v>4.2999999999999997E-2</v>
      </c>
      <c r="N29" s="11">
        <v>-3.0000000000000001E-3</v>
      </c>
      <c r="O29" s="12">
        <v>560</v>
      </c>
      <c r="Q29" s="23">
        <v>1.327</v>
      </c>
      <c r="R29" s="23">
        <v>1.3340000000000001</v>
      </c>
      <c r="T29">
        <v>0.8</v>
      </c>
      <c r="U29">
        <f t="shared" si="0"/>
        <v>1.3305</v>
      </c>
    </row>
    <row r="30" spans="1:21">
      <c r="B30" s="7" t="s">
        <v>31</v>
      </c>
      <c r="C30" s="11">
        <v>8.2000000000000003E-2</v>
      </c>
      <c r="D30" s="11">
        <v>8.2000000000000003E-2</v>
      </c>
      <c r="E30" s="23">
        <v>1.327</v>
      </c>
      <c r="F30" s="23">
        <v>1.3340000000000001</v>
      </c>
      <c r="G30" s="11">
        <v>-3.0000000000000001E-3</v>
      </c>
      <c r="H30" s="19">
        <v>2.4049999999999998</v>
      </c>
      <c r="I30" s="9">
        <v>2.0750000000000002</v>
      </c>
      <c r="J30" s="16">
        <v>0.438</v>
      </c>
      <c r="K30" s="16">
        <v>0.41199999999999998</v>
      </c>
      <c r="L30" s="16">
        <v>0.26100000000000001</v>
      </c>
      <c r="M30" s="16">
        <v>0.27300000000000002</v>
      </c>
      <c r="N30" s="11">
        <v>-3.0000000000000001E-3</v>
      </c>
      <c r="O30" s="12">
        <v>560</v>
      </c>
      <c r="Q30" s="18">
        <v>1.139</v>
      </c>
      <c r="R30" s="18">
        <v>1.218</v>
      </c>
      <c r="T30">
        <v>0.7</v>
      </c>
      <c r="U30">
        <f t="shared" si="0"/>
        <v>1.1785000000000001</v>
      </c>
    </row>
    <row r="31" spans="1:21">
      <c r="B31" s="7" t="s">
        <v>32</v>
      </c>
      <c r="C31" s="11">
        <v>7.1999999999999995E-2</v>
      </c>
      <c r="D31" s="11">
        <v>6.8000000000000005E-2</v>
      </c>
      <c r="E31" s="18">
        <v>1.139</v>
      </c>
      <c r="F31" s="18">
        <v>1.218</v>
      </c>
      <c r="G31" s="11">
        <v>-3.0000000000000001E-3</v>
      </c>
      <c r="H31" s="22" t="s">
        <v>29</v>
      </c>
      <c r="I31" s="22" t="s">
        <v>29</v>
      </c>
      <c r="J31" s="15">
        <v>0.998</v>
      </c>
      <c r="K31" s="15">
        <v>0.92400000000000004</v>
      </c>
      <c r="L31" s="13">
        <v>0.63100000000000001</v>
      </c>
      <c r="M31" s="13">
        <v>0.59399999999999997</v>
      </c>
      <c r="N31" s="11">
        <v>-3.0000000000000001E-3</v>
      </c>
      <c r="O31" s="12">
        <v>560</v>
      </c>
      <c r="Q31" s="15">
        <v>0.98599999999999999</v>
      </c>
      <c r="R31" s="15">
        <v>1.014</v>
      </c>
      <c r="T31">
        <v>0.6</v>
      </c>
      <c r="U31">
        <f t="shared" si="0"/>
        <v>1</v>
      </c>
    </row>
    <row r="32" spans="1:21">
      <c r="B32" s="7" t="s">
        <v>33</v>
      </c>
      <c r="C32" s="11">
        <v>0.05</v>
      </c>
      <c r="D32" s="11">
        <v>5.1999999999999998E-2</v>
      </c>
      <c r="E32" s="15">
        <v>0.98599999999999999</v>
      </c>
      <c r="F32" s="15">
        <v>1.014</v>
      </c>
      <c r="G32" s="11">
        <v>-3.0000000000000001E-3</v>
      </c>
      <c r="H32" s="22" t="s">
        <v>29</v>
      </c>
      <c r="I32" s="22" t="s">
        <v>29</v>
      </c>
      <c r="J32" s="17">
        <v>1.6839999999999999</v>
      </c>
      <c r="K32" s="17">
        <v>1.7529999999999999</v>
      </c>
      <c r="L32" s="15">
        <v>1.0369999999999999</v>
      </c>
      <c r="M32" s="18">
        <v>1.1000000000000001</v>
      </c>
      <c r="N32" s="11">
        <v>-3.0000000000000001E-3</v>
      </c>
      <c r="O32" s="12">
        <v>560</v>
      </c>
      <c r="Q32" s="8">
        <v>0.78900000000000003</v>
      </c>
      <c r="R32" s="8">
        <v>0.75700000000000001</v>
      </c>
      <c r="T32">
        <v>0.4</v>
      </c>
      <c r="U32">
        <f t="shared" si="0"/>
        <v>0.77300000000000002</v>
      </c>
    </row>
    <row r="33" spans="17:21">
      <c r="Q33" s="13">
        <v>0.44800000000000001</v>
      </c>
      <c r="R33" s="13">
        <v>0.46800000000000003</v>
      </c>
      <c r="T33">
        <v>0.2</v>
      </c>
      <c r="U33">
        <f t="shared" si="0"/>
        <v>0.45800000000000002</v>
      </c>
    </row>
    <row r="34" spans="17:21">
      <c r="Q34" s="16">
        <v>0.28799999999999998</v>
      </c>
      <c r="R34" s="16">
        <v>0.307</v>
      </c>
      <c r="T34">
        <v>0.1</v>
      </c>
      <c r="U34">
        <f t="shared" si="0"/>
        <v>0.29749999999999999</v>
      </c>
    </row>
    <row r="35" spans="17:21">
      <c r="Q35" s="11">
        <v>0.17799999999999999</v>
      </c>
      <c r="R35" s="11">
        <v>0.19500000000000001</v>
      </c>
      <c r="T35">
        <v>0.08</v>
      </c>
      <c r="U35">
        <f t="shared" si="0"/>
        <v>0.1865</v>
      </c>
    </row>
    <row r="36" spans="17:21">
      <c r="Q36" s="11">
        <v>0.11600000000000001</v>
      </c>
      <c r="R36" s="11">
        <v>0.11899999999999999</v>
      </c>
      <c r="T36">
        <v>0.04</v>
      </c>
      <c r="U36">
        <f t="shared" si="0"/>
        <v>0.11749999999999999</v>
      </c>
    </row>
    <row r="37" spans="17:21">
      <c r="Q37" s="11">
        <v>8.2000000000000003E-2</v>
      </c>
      <c r="R37" s="11">
        <v>8.2000000000000003E-2</v>
      </c>
      <c r="T37">
        <v>0.02</v>
      </c>
      <c r="U37">
        <f t="shared" si="0"/>
        <v>8.2000000000000003E-2</v>
      </c>
    </row>
    <row r="38" spans="17:21">
      <c r="Q38" s="11">
        <v>7.1999999999999995E-2</v>
      </c>
      <c r="R38" s="11">
        <v>6.8000000000000005E-2</v>
      </c>
      <c r="T38">
        <v>0.01</v>
      </c>
      <c r="U38">
        <f t="shared" si="0"/>
        <v>7.0000000000000007E-2</v>
      </c>
    </row>
    <row r="39" spans="17:21">
      <c r="Q39" s="11">
        <v>0.05</v>
      </c>
      <c r="R39" s="11">
        <v>5.1999999999999998E-2</v>
      </c>
      <c r="T39">
        <v>0</v>
      </c>
      <c r="U39">
        <f t="shared" si="0"/>
        <v>5.1000000000000004E-2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2024-11-30T08:41:45Z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