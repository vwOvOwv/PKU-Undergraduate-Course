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peiyuliu/Desktop/PKU-Undergraduate-Course-Public/生物化学实验(Biochemistry Lab)/开放实验/开放实验酶标仪数据/磷硫铁法/"/>
    </mc:Choice>
  </mc:AlternateContent>
  <xr:revisionPtr revIDLastSave="0" documentId="13_ncr:1_{01D2E04E-2486-6D49-B11C-DDF8F715D1F7}" xr6:coauthVersionLast="47" xr6:coauthVersionMax="47" xr10:uidLastSave="{00000000-0000-0000-0000-000000000000}"/>
  <bookViews>
    <workbookView xWindow="0" yWindow="740" windowWidth="30240" windowHeight="18900" xr2:uid="{00000000-000D-0000-FFFF-FFFF00000000}"/>
  </bookViews>
  <sheets>
    <sheet name="板 1 - Sheet1" sheetId="1" r:id="rId1"/>
  </sheets>
  <definedNames>
    <definedName name="MethodPointer1">1035676272</definedName>
    <definedName name="MethodPointer2">418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B51" i="1" l="1"/>
  <c r="AC51" i="1"/>
  <c r="AD51" i="1"/>
  <c r="AE51" i="1"/>
  <c r="AF51" i="1"/>
  <c r="AG51" i="1"/>
  <c r="AH51" i="1"/>
  <c r="AA51" i="1"/>
  <c r="AB50" i="1"/>
  <c r="AC50" i="1"/>
  <c r="AD50" i="1"/>
  <c r="AE50" i="1"/>
  <c r="AF50" i="1"/>
  <c r="AG50" i="1"/>
  <c r="AH50" i="1"/>
  <c r="AA50" i="1"/>
  <c r="R39" i="1" a="1"/>
  <c r="R39" i="1" s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U19" i="1"/>
  <c r="U10" i="1"/>
  <c r="U11" i="1"/>
  <c r="U12" i="1"/>
  <c r="U13" i="1"/>
  <c r="U14" i="1"/>
  <c r="U15" i="1"/>
  <c r="U16" i="1"/>
  <c r="U17" i="1"/>
  <c r="U18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<sst xmlns="http://schemas.openxmlformats.org/spreadsheetml/2006/main" count="33" uniqueCount="33">
  <si>
    <t>软件版本</t>
  </si>
  <si>
    <t>3.05.11</t>
  </si>
  <si>
    <r>
      <t>实验文件路径</t>
    </r>
    <r>
      <rPr>
        <sz val="10"/>
        <rFont val="Arial"/>
        <family val="2"/>
      </rPr>
      <t>:</t>
    </r>
  </si>
  <si>
    <r>
      <t>C:\Users\Public\Documents\Experiments\</t>
    </r>
    <r>
      <rPr>
        <sz val="10"/>
        <rFont val="宋体"/>
        <family val="3"/>
        <charset val="134"/>
      </rPr>
      <t>周五三组预实验</t>
    </r>
    <r>
      <rPr>
        <sz val="10"/>
        <rFont val="Arial"/>
        <family val="2"/>
      </rPr>
      <t xml:space="preserve"> lpy</t>
    </r>
    <r>
      <rPr>
        <sz val="10"/>
        <rFont val="宋体"/>
        <family val="3"/>
        <charset val="134"/>
      </rPr>
      <t>磷硫铁法</t>
    </r>
    <r>
      <rPr>
        <sz val="10"/>
        <rFont val="Arial"/>
        <family val="2"/>
      </rPr>
      <t>-4.xpt</t>
    </r>
  </si>
  <si>
    <r>
      <t>方案文件路径</t>
    </r>
    <r>
      <rPr>
        <sz val="10"/>
        <rFont val="Arial"/>
        <family val="2"/>
      </rPr>
      <t>:</t>
    </r>
  </si>
  <si>
    <t>板编号</t>
  </si>
  <si>
    <r>
      <t>板</t>
    </r>
    <r>
      <rPr>
        <sz val="10"/>
        <rFont val="Arial"/>
        <family val="2"/>
      </rPr>
      <t xml:space="preserve"> 1</t>
    </r>
  </si>
  <si>
    <t>日期</t>
  </si>
  <si>
    <t>时间</t>
  </si>
  <si>
    <r>
      <t>检测仪类型</t>
    </r>
    <r>
      <rPr>
        <sz val="10"/>
        <rFont val="Arial"/>
        <family val="2"/>
      </rPr>
      <t>:</t>
    </r>
  </si>
  <si>
    <t>Epoch 2</t>
  </si>
  <si>
    <r>
      <t>检测仪序列号</t>
    </r>
    <r>
      <rPr>
        <sz val="10"/>
        <rFont val="Arial"/>
        <family val="2"/>
      </rPr>
      <t>:</t>
    </r>
  </si>
  <si>
    <t>检测类型</t>
  </si>
  <si>
    <t>检测仪</t>
  </si>
  <si>
    <t>程序详细信息</t>
  </si>
  <si>
    <t>板类型</t>
  </si>
  <si>
    <t>96 WELL PLATE</t>
  </si>
  <si>
    <t>完成后弹出板</t>
  </si>
  <si>
    <t>检测</t>
  </si>
  <si>
    <r>
      <t>吸收光</t>
    </r>
    <r>
      <rPr>
        <sz val="10"/>
        <rFont val="Arial"/>
        <family val="2"/>
      </rPr>
      <t xml:space="preserve"> </t>
    </r>
    <r>
      <rPr>
        <sz val="10"/>
        <rFont val="宋体"/>
        <family val="3"/>
        <charset val="134"/>
      </rPr>
      <t>终点</t>
    </r>
  </si>
  <si>
    <t>全板</t>
  </si>
  <si>
    <r>
      <t>波长</t>
    </r>
    <r>
      <rPr>
        <sz val="10"/>
        <rFont val="Arial"/>
        <family val="2"/>
      </rPr>
      <t>:  560</t>
    </r>
  </si>
  <si>
    <r>
      <t>检测速度</t>
    </r>
    <r>
      <rPr>
        <sz val="10"/>
        <rFont val="Arial"/>
        <family val="2"/>
      </rPr>
      <t xml:space="preserve">: </t>
    </r>
    <r>
      <rPr>
        <sz val="10"/>
        <rFont val="宋体"/>
        <family val="3"/>
        <charset val="134"/>
      </rPr>
      <t>正常</t>
    </r>
    <r>
      <rPr>
        <sz val="10"/>
        <rFont val="Arial"/>
        <family val="2"/>
      </rPr>
      <t xml:space="preserve">,  </t>
    </r>
    <r>
      <rPr>
        <sz val="10"/>
        <rFont val="宋体"/>
        <family val="3"/>
        <charset val="134"/>
      </rPr>
      <t>延迟</t>
    </r>
    <r>
      <rPr>
        <sz val="10"/>
        <rFont val="Arial"/>
        <family val="2"/>
      </rPr>
      <t xml:space="preserve">: 100 msec,  </t>
    </r>
    <r>
      <rPr>
        <sz val="10"/>
        <rFont val="宋体"/>
        <family val="3"/>
        <charset val="134"/>
      </rPr>
      <t>测量值</t>
    </r>
    <r>
      <rPr>
        <sz val="10"/>
        <rFont val="Arial"/>
        <family val="2"/>
      </rPr>
      <t>/</t>
    </r>
    <r>
      <rPr>
        <sz val="10"/>
        <rFont val="宋体"/>
        <family val="3"/>
        <charset val="134"/>
      </rPr>
      <t>数据点</t>
    </r>
    <r>
      <rPr>
        <sz val="10"/>
        <rFont val="Arial"/>
        <family val="2"/>
      </rPr>
      <t>: 8</t>
    </r>
  </si>
  <si>
    <t>结果</t>
  </si>
  <si>
    <r>
      <t>实际温度</t>
    </r>
    <r>
      <rPr>
        <sz val="10"/>
        <rFont val="Arial"/>
        <family val="2"/>
      </rPr>
      <t>:</t>
    </r>
  </si>
  <si>
    <t>A</t>
  </si>
  <si>
    <t>B</t>
  </si>
  <si>
    <t>C</t>
  </si>
  <si>
    <t>D</t>
  </si>
  <si>
    <t>E</t>
  </si>
  <si>
    <t>F</t>
  </si>
  <si>
    <t>G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</si>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</sst>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name val="Arial"/>
      <family val="2"/>
    </font>
    <font>
      <sz val="10"/>
      <name val="宋体"/>
      <family val="3"/>
      <charset val="134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27413E"/>
      <name val="Arial"/>
      <family val="2"/>
    </font>
    <font>
      <sz val="7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BAD7EF"/>
        <bgColor indexed="64"/>
      </patternFill>
    </fill>
    <fill>
      <patternFill patternType="solid">
        <fgColor rgb="FF5197CC"/>
        <bgColor indexed="64"/>
      </patternFill>
    </fill>
    <fill>
      <patternFill patternType="solid">
        <fgColor rgb="FF60A0D1"/>
        <bgColor indexed="64"/>
      </patternFill>
    </fill>
    <fill>
      <patternFill patternType="solid">
        <fgColor rgb="FF247CBD"/>
        <bgColor indexed="64"/>
      </patternFill>
    </fill>
    <fill>
      <patternFill patternType="solid">
        <fgColor rgb="FFE8F3FF"/>
        <bgColor indexed="64"/>
      </patternFill>
    </fill>
    <fill>
      <patternFill patternType="solid">
        <fgColor rgb="FFD8E9F9"/>
        <bgColor indexed="64"/>
      </patternFill>
    </fill>
    <fill>
      <patternFill patternType="solid">
        <fgColor rgb="FF3385C2"/>
        <bgColor indexed="64"/>
      </patternFill>
    </fill>
    <fill>
      <patternFill patternType="solid">
        <fgColor rgb="FF428EC7"/>
        <bgColor indexed="64"/>
      </patternFill>
    </fill>
    <fill>
      <patternFill patternType="solid">
        <fgColor rgb="FF6FA9D6"/>
        <bgColor indexed="64"/>
      </patternFill>
    </fill>
    <fill>
      <patternFill patternType="solid">
        <fgColor rgb="FF7EB2DB"/>
        <bgColor indexed="64"/>
      </patternFill>
    </fill>
    <fill>
      <patternFill patternType="solid">
        <fgColor rgb="FF8DBCE0"/>
        <bgColor indexed="64"/>
      </patternFill>
    </fill>
    <fill>
      <patternFill patternType="solid">
        <fgColor rgb="FF9CC5E5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4" fontId="0" fillId="0" borderId="0" xfId="0" applyNumberFormat="1"/>
    <xf numFmtId="21" fontId="0" fillId="0" borderId="0" xfId="0" applyNumberFormat="1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0" fillId="2" borderId="1" xfId="0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'板 1 - Sheet1'!$T$20:$T$32</c:f>
              <c:numCache>
                <c:formatCode>General</c:formatCode>
                <c:ptCount val="13"/>
                <c:pt idx="0">
                  <c:v>0.13999999999999999</c:v>
                </c:pt>
                <c:pt idx="1">
                  <c:v>0.12</c:v>
                </c:pt>
                <c:pt idx="2">
                  <c:v>0.1</c:v>
                </c:pt>
                <c:pt idx="3">
                  <c:v>8.0000000000000016E-2</c:v>
                </c:pt>
                <c:pt idx="4">
                  <c:v>0.06</c:v>
                </c:pt>
                <c:pt idx="5">
                  <c:v>4.0000000000000008E-2</c:v>
                </c:pt>
                <c:pt idx="6">
                  <c:v>2.0000000000000004E-2</c:v>
                </c:pt>
                <c:pt idx="7">
                  <c:v>1.0000000000000002E-2</c:v>
                </c:pt>
                <c:pt idx="8">
                  <c:v>8.0000000000000002E-3</c:v>
                </c:pt>
                <c:pt idx="9">
                  <c:v>4.0000000000000001E-3</c:v>
                </c:pt>
                <c:pt idx="10">
                  <c:v>2E-3</c:v>
                </c:pt>
                <c:pt idx="11">
                  <c:v>1E-3</c:v>
                </c:pt>
                <c:pt idx="12">
                  <c:v>0</c:v>
                </c:pt>
              </c:numCache>
            </c:numRef>
          </c:xVal>
          <c:yVal>
            <c:numRef>
              <c:f>'板 1 - Sheet1'!$V$20:$V$32</c:f>
              <c:numCache>
                <c:formatCode>General</c:formatCode>
                <c:ptCount val="13"/>
                <c:pt idx="0">
                  <c:v>2.3479999999999999</c:v>
                </c:pt>
                <c:pt idx="1">
                  <c:v>2.0249999999999999</c:v>
                </c:pt>
                <c:pt idx="2">
                  <c:v>1.637</c:v>
                </c:pt>
                <c:pt idx="3">
                  <c:v>1.3499999999999999</c:v>
                </c:pt>
                <c:pt idx="4">
                  <c:v>0.88500000000000001</c:v>
                </c:pt>
                <c:pt idx="5">
                  <c:v>0.749</c:v>
                </c:pt>
                <c:pt idx="6">
                  <c:v>0.315</c:v>
                </c:pt>
                <c:pt idx="7">
                  <c:v>0.18049999999999999</c:v>
                </c:pt>
                <c:pt idx="8">
                  <c:v>0.11600000000000001</c:v>
                </c:pt>
                <c:pt idx="9">
                  <c:v>7.2499999999999995E-2</c:v>
                </c:pt>
                <c:pt idx="10">
                  <c:v>4.7E-2</c:v>
                </c:pt>
                <c:pt idx="11">
                  <c:v>6.5000000000000058E-3</c:v>
                </c:pt>
                <c:pt idx="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F4-1247-8F25-8F485A0F0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46720"/>
        <c:axId val="153277184"/>
      </c:scatterChart>
      <c:valAx>
        <c:axId val="1532467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3277184"/>
        <c:crosses val="autoZero"/>
        <c:crossBetween val="midCat"/>
      </c:valAx>
      <c:valAx>
        <c:axId val="1532771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3246720"/>
        <c:crosses val="autoZero"/>
        <c:crossBetween val="midCat"/>
      </c:valAx>
    </c:plotArea>
    <c:plotVisOnly val="1"/>
    <c:dispBlanksAs val="gap"/>
    <c:showDLblsOverMax val="0"/>
  </c:chart>
  <c:spPr>
    <a:ln>
      <a:noFill/>
    </a:ln>
  </c:sp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444500</xdr:colOff>
      <xdr:row>2</xdr:row>
      <xdr:rowOff>34925</xdr:rowOff>
    </xdr:from>
    <xdr:to>
      <xdr:col>14</xdr:col>
      <xdr:colOff>76200</xdr:colOff>
      <xdr:row>18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53"/>
  <sheetViews>
    <sheetView tabSelected="1" topLeftCell="A2" workbookViewId="0">
      <selection activeCell="AA51" sqref="AA51:AH51"/>
    </sheetView>
  </sheetViews>
  <sheetFormatPr baseColWidth="10" defaultColWidth="8.83203125" defaultRowHeight="13"/>
  <cols>
    <col min="1" max="1" width="20.6640625" customWidth="1"/>
    <col min="2" max="2" width="12.6640625" customWidth="1"/>
  </cols>
  <sheetData>
    <row r="2" spans="1:22" ht="14">
      <c r="A2" s="1" t="s">
        <v>0</v>
      </c>
      <c r="B2" t="s">
        <v>1</v>
      </c>
      <c r="V2">
        <v>1</v>
      </c>
    </row>
    <row r="3" spans="1:22">
      <c r="V3">
        <v>0.9</v>
      </c>
    </row>
    <row r="4" spans="1:22" ht="14">
      <c r="A4" s="1" t="s">
        <v>2</v>
      </c>
      <c r="B4" t="s">
        <v>3</v>
      </c>
      <c r="V4">
        <v>0.8</v>
      </c>
    </row>
    <row r="5" spans="1:22" ht="14">
      <c r="A5" s="1" t="s">
        <v>4</v>
      </c>
      <c r="V5">
        <v>0.70000000000000007</v>
      </c>
    </row>
    <row r="6" spans="1:22" ht="14">
      <c r="A6" s="1" t="s">
        <v>5</v>
      </c>
      <c r="B6" s="1" t="s">
        <v>6</v>
      </c>
      <c r="V6">
        <v>0.60000000000000009</v>
      </c>
    </row>
    <row r="7" spans="1:22" ht="14">
      <c r="A7" s="1" t="s">
        <v>7</v>
      </c>
      <c r="B7" s="2">
        <v>45618</v>
      </c>
      <c r="V7">
        <v>0.5</v>
      </c>
    </row>
    <row r="8" spans="1:22" ht="14">
      <c r="A8" s="1" t="s">
        <v>8</v>
      </c>
      <c r="B8" s="3">
        <v>0.72585648148148152</v>
      </c>
      <c r="V8">
        <v>0.4</v>
      </c>
    </row>
    <row r="9" spans="1:22" ht="14">
      <c r="A9" s="1" t="s">
        <v>9</v>
      </c>
      <c r="B9" t="s">
        <v>10</v>
      </c>
      <c r="R9" s="11">
        <v>3.2829999999999999</v>
      </c>
      <c r="S9" s="11">
        <v>3.2280000000000002</v>
      </c>
      <c r="T9">
        <v>3.6</v>
      </c>
      <c r="U9">
        <f>(R9+S9)/2</f>
        <v>3.2555000000000001</v>
      </c>
      <c r="V9">
        <f t="shared" ref="V9:V31" si="0">U9-0.076</f>
        <v>3.1795</v>
      </c>
    </row>
    <row r="10" spans="1:22" ht="14">
      <c r="A10" s="1" t="s">
        <v>11</v>
      </c>
      <c r="B10">
        <v>19012425</v>
      </c>
      <c r="R10" s="11">
        <v>3.258</v>
      </c>
      <c r="S10" s="15">
        <v>3.169</v>
      </c>
      <c r="T10">
        <v>3.4</v>
      </c>
      <c r="U10">
        <f t="shared" ref="U10:U32" si="1">(R10+S10)/2</f>
        <v>3.2134999999999998</v>
      </c>
      <c r="V10">
        <f t="shared" si="0"/>
        <v>3.1374999999999997</v>
      </c>
    </row>
    <row r="11" spans="1:22" ht="14">
      <c r="A11" s="1" t="s">
        <v>12</v>
      </c>
      <c r="B11" s="1" t="s">
        <v>13</v>
      </c>
      <c r="R11" s="11">
        <v>3.4209999999999998</v>
      </c>
      <c r="S11" s="11">
        <v>3.2450000000000001</v>
      </c>
      <c r="T11">
        <v>3.2</v>
      </c>
      <c r="U11">
        <f t="shared" si="1"/>
        <v>3.3330000000000002</v>
      </c>
      <c r="V11">
        <f t="shared" si="0"/>
        <v>3.2570000000000001</v>
      </c>
    </row>
    <row r="12" spans="1:22">
      <c r="R12" s="11">
        <v>3.339</v>
      </c>
      <c r="S12" s="11">
        <v>3.45</v>
      </c>
      <c r="T12">
        <v>3</v>
      </c>
      <c r="U12">
        <f t="shared" si="1"/>
        <v>3.3944999999999999</v>
      </c>
      <c r="V12">
        <f t="shared" si="0"/>
        <v>3.3184999999999998</v>
      </c>
    </row>
    <row r="13" spans="1:22" ht="14">
      <c r="A13" s="4" t="s">
        <v>14</v>
      </c>
      <c r="B13" s="5"/>
      <c r="R13" s="15">
        <v>3.05</v>
      </c>
      <c r="S13" s="11">
        <v>3.4049999999999998</v>
      </c>
      <c r="T13">
        <v>2.8</v>
      </c>
      <c r="U13">
        <f t="shared" si="1"/>
        <v>3.2275</v>
      </c>
      <c r="V13">
        <f t="shared" si="0"/>
        <v>3.1515</v>
      </c>
    </row>
    <row r="14" spans="1:22" ht="14">
      <c r="A14" s="1" t="s">
        <v>15</v>
      </c>
      <c r="B14" t="s">
        <v>16</v>
      </c>
      <c r="R14" s="16">
        <v>2.8919999999999999</v>
      </c>
      <c r="S14" s="11">
        <v>3.4449999999999998</v>
      </c>
      <c r="T14">
        <v>2.6</v>
      </c>
      <c r="U14">
        <f t="shared" si="1"/>
        <v>3.1684999999999999</v>
      </c>
      <c r="V14">
        <f t="shared" si="0"/>
        <v>3.0924999999999998</v>
      </c>
    </row>
    <row r="15" spans="1:22" ht="14">
      <c r="A15" s="1" t="s">
        <v>17</v>
      </c>
      <c r="R15" s="9">
        <v>2.5910000000000002</v>
      </c>
      <c r="S15" s="11">
        <v>3.2229999999999999</v>
      </c>
      <c r="T15">
        <v>2.4</v>
      </c>
      <c r="U15">
        <f t="shared" si="1"/>
        <v>2.907</v>
      </c>
      <c r="V15">
        <f t="shared" si="0"/>
        <v>2.831</v>
      </c>
    </row>
    <row r="16" spans="1:22" ht="14">
      <c r="A16" s="1" t="s">
        <v>18</v>
      </c>
      <c r="B16" s="1" t="s">
        <v>19</v>
      </c>
      <c r="R16" s="15">
        <v>3.161</v>
      </c>
      <c r="S16" s="10">
        <v>2.3660000000000001</v>
      </c>
      <c r="T16">
        <v>2.2000000000000002</v>
      </c>
      <c r="U16">
        <f t="shared" si="1"/>
        <v>2.7635000000000001</v>
      </c>
      <c r="V16">
        <f t="shared" si="0"/>
        <v>2.6875</v>
      </c>
    </row>
    <row r="17" spans="1:22" ht="14">
      <c r="B17" s="1" t="s">
        <v>20</v>
      </c>
      <c r="R17" s="9">
        <v>2.5649999999999999</v>
      </c>
      <c r="S17" s="10">
        <v>2.3359999999999999</v>
      </c>
      <c r="T17">
        <v>2</v>
      </c>
      <c r="U17">
        <f t="shared" si="1"/>
        <v>2.4504999999999999</v>
      </c>
      <c r="V17">
        <f t="shared" si="0"/>
        <v>2.3744999999999998</v>
      </c>
    </row>
    <row r="18" spans="1:22" ht="14">
      <c r="B18" s="1" t="s">
        <v>21</v>
      </c>
      <c r="R18" s="15">
        <v>3.1379999999999999</v>
      </c>
      <c r="S18" s="9">
        <v>2.6080000000000001</v>
      </c>
      <c r="T18">
        <v>1.8</v>
      </c>
      <c r="U18">
        <f t="shared" si="1"/>
        <v>2.8730000000000002</v>
      </c>
      <c r="V18">
        <f t="shared" si="0"/>
        <v>2.7970000000000002</v>
      </c>
    </row>
    <row r="19" spans="1:22" ht="14">
      <c r="B19" s="1" t="s">
        <v>22</v>
      </c>
      <c r="R19" s="16">
        <v>2.7130000000000001</v>
      </c>
      <c r="S19" s="10">
        <v>2.2370000000000001</v>
      </c>
      <c r="T19">
        <v>1.6</v>
      </c>
      <c r="U19">
        <f t="shared" si="1"/>
        <v>2.4750000000000001</v>
      </c>
      <c r="V19">
        <f t="shared" si="0"/>
        <v>2.399</v>
      </c>
    </row>
    <row r="20" spans="1:22">
      <c r="R20" s="16">
        <v>2.73</v>
      </c>
      <c r="S20" s="17">
        <v>2.1179999999999999</v>
      </c>
      <c r="T20">
        <v>0.13999999999999999</v>
      </c>
      <c r="U20">
        <f t="shared" si="1"/>
        <v>2.4239999999999999</v>
      </c>
      <c r="V20">
        <f t="shared" si="0"/>
        <v>2.3479999999999999</v>
      </c>
    </row>
    <row r="21" spans="1:22" ht="14">
      <c r="A21" s="4" t="s">
        <v>23</v>
      </c>
      <c r="B21" s="5"/>
      <c r="R21" s="10">
        <v>2.2530000000000001</v>
      </c>
      <c r="S21" s="18">
        <v>1.9490000000000001</v>
      </c>
      <c r="T21">
        <v>0.12</v>
      </c>
      <c r="U21">
        <f t="shared" si="1"/>
        <v>2.101</v>
      </c>
      <c r="V21">
        <f t="shared" si="0"/>
        <v>2.0249999999999999</v>
      </c>
    </row>
    <row r="22" spans="1:22" ht="14">
      <c r="A22" s="1" t="s">
        <v>24</v>
      </c>
      <c r="B22">
        <v>23.9</v>
      </c>
      <c r="R22" s="19">
        <v>1.65</v>
      </c>
      <c r="S22" s="18">
        <v>1.776</v>
      </c>
      <c r="T22">
        <v>0.1</v>
      </c>
      <c r="U22">
        <f t="shared" si="1"/>
        <v>1.7130000000000001</v>
      </c>
      <c r="V22">
        <f t="shared" si="0"/>
        <v>1.637</v>
      </c>
    </row>
    <row r="23" spans="1:22">
      <c r="R23" s="20">
        <v>1.4159999999999999</v>
      </c>
      <c r="S23" s="20">
        <v>1.4359999999999999</v>
      </c>
      <c r="T23">
        <v>8.0000000000000016E-2</v>
      </c>
      <c r="U23">
        <f t="shared" si="1"/>
        <v>1.4259999999999999</v>
      </c>
      <c r="V23">
        <f t="shared" si="0"/>
        <v>1.3499999999999999</v>
      </c>
    </row>
    <row r="24" spans="1:22">
      <c r="B24" s="6"/>
      <c r="C24" s="7">
        <v>1</v>
      </c>
      <c r="D24" s="7">
        <v>2</v>
      </c>
      <c r="E24" s="7">
        <v>3</v>
      </c>
      <c r="F24" s="7">
        <v>4</v>
      </c>
      <c r="G24" s="7">
        <v>5</v>
      </c>
      <c r="H24" s="7">
        <v>6</v>
      </c>
      <c r="I24" s="7">
        <v>7</v>
      </c>
      <c r="J24" s="7">
        <v>8</v>
      </c>
      <c r="K24" s="7">
        <v>9</v>
      </c>
      <c r="L24" s="7">
        <v>10</v>
      </c>
      <c r="M24" s="7">
        <v>11</v>
      </c>
      <c r="N24" s="7">
        <v>12</v>
      </c>
      <c r="R24" s="8">
        <v>0.96699999999999997</v>
      </c>
      <c r="S24" s="8">
        <v>0.95499999999999996</v>
      </c>
      <c r="T24">
        <v>0.06</v>
      </c>
      <c r="U24">
        <f t="shared" si="1"/>
        <v>0.96099999999999997</v>
      </c>
      <c r="V24">
        <f t="shared" si="0"/>
        <v>0.88500000000000001</v>
      </c>
    </row>
    <row r="25" spans="1:22" ht="14">
      <c r="B25" s="7" t="s">
        <v>25</v>
      </c>
      <c r="C25" s="8">
        <v>0.83</v>
      </c>
      <c r="D25" s="8">
        <v>0.82</v>
      </c>
      <c r="E25" s="9">
        <v>2.5649999999999999</v>
      </c>
      <c r="F25" s="10">
        <v>2.3359999999999999</v>
      </c>
      <c r="G25" s="11">
        <v>3.2829999999999999</v>
      </c>
      <c r="H25" s="11">
        <v>3.2280000000000002</v>
      </c>
      <c r="I25" s="12">
        <v>-3.0000000000000001E-3</v>
      </c>
      <c r="J25" s="12">
        <v>-3.0000000000000001E-3</v>
      </c>
      <c r="K25" s="12">
        <v>-3.0000000000000001E-3</v>
      </c>
      <c r="L25" s="12">
        <v>-3.0000000000000001E-3</v>
      </c>
      <c r="M25" s="12">
        <v>-3.0000000000000001E-3</v>
      </c>
      <c r="N25" s="12">
        <v>-2E-3</v>
      </c>
      <c r="O25" s="13">
        <v>560</v>
      </c>
      <c r="R25" s="8">
        <v>0.83</v>
      </c>
      <c r="S25" s="8">
        <v>0.82</v>
      </c>
      <c r="T25">
        <v>4.0000000000000008E-2</v>
      </c>
      <c r="U25">
        <f t="shared" si="1"/>
        <v>0.82499999999999996</v>
      </c>
      <c r="V25">
        <f t="shared" si="0"/>
        <v>0.749</v>
      </c>
    </row>
    <row r="26" spans="1:22" ht="14">
      <c r="B26" s="7" t="s">
        <v>26</v>
      </c>
      <c r="C26" s="14">
        <v>0.38800000000000001</v>
      </c>
      <c r="D26" s="14">
        <v>0.39400000000000002</v>
      </c>
      <c r="E26" s="15">
        <v>3.1379999999999999</v>
      </c>
      <c r="F26" s="9">
        <v>2.6080000000000001</v>
      </c>
      <c r="G26" s="11">
        <v>3.258</v>
      </c>
      <c r="H26" s="15">
        <v>3.169</v>
      </c>
      <c r="I26" s="12">
        <v>-2E-3</v>
      </c>
      <c r="J26" s="12">
        <v>-3.0000000000000001E-3</v>
      </c>
      <c r="K26" s="12">
        <v>-3.0000000000000001E-3</v>
      </c>
      <c r="L26" s="12">
        <v>-3.0000000000000001E-3</v>
      </c>
      <c r="M26" s="12">
        <v>-3.0000000000000001E-3</v>
      </c>
      <c r="N26" s="12">
        <v>-2E-3</v>
      </c>
      <c r="O26" s="13">
        <v>560</v>
      </c>
      <c r="R26" s="14">
        <v>0.38800000000000001</v>
      </c>
      <c r="S26" s="14">
        <v>0.39400000000000002</v>
      </c>
      <c r="T26">
        <v>2.0000000000000004E-2</v>
      </c>
      <c r="U26">
        <f t="shared" si="1"/>
        <v>0.39100000000000001</v>
      </c>
      <c r="V26">
        <f t="shared" si="0"/>
        <v>0.315</v>
      </c>
    </row>
    <row r="27" spans="1:22" ht="14">
      <c r="B27" s="7" t="s">
        <v>27</v>
      </c>
      <c r="C27" s="12">
        <v>0.24099999999999999</v>
      </c>
      <c r="D27" s="14">
        <v>0.27200000000000002</v>
      </c>
      <c r="E27" s="16">
        <v>2.7130000000000001</v>
      </c>
      <c r="F27" s="10">
        <v>2.2370000000000001</v>
      </c>
      <c r="G27" s="11">
        <v>3.4209999999999998</v>
      </c>
      <c r="H27" s="11">
        <v>3.2450000000000001</v>
      </c>
      <c r="I27" s="12">
        <v>-3.0000000000000001E-3</v>
      </c>
      <c r="J27" s="12">
        <v>-2E-3</v>
      </c>
      <c r="K27" s="12">
        <v>-3.0000000000000001E-3</v>
      </c>
      <c r="L27" s="12">
        <v>-3.0000000000000001E-3</v>
      </c>
      <c r="M27" s="12">
        <v>-3.0000000000000001E-3</v>
      </c>
      <c r="N27" s="12">
        <v>-3.0000000000000001E-3</v>
      </c>
      <c r="O27" s="13">
        <v>560</v>
      </c>
      <c r="R27" s="12">
        <v>0.24099999999999999</v>
      </c>
      <c r="S27" s="14">
        <v>0.27200000000000002</v>
      </c>
      <c r="T27">
        <v>1.0000000000000002E-2</v>
      </c>
      <c r="U27">
        <f t="shared" si="1"/>
        <v>0.25650000000000001</v>
      </c>
      <c r="V27">
        <f t="shared" si="0"/>
        <v>0.18049999999999999</v>
      </c>
    </row>
    <row r="28" spans="1:22" ht="14">
      <c r="B28" s="7" t="s">
        <v>28</v>
      </c>
      <c r="C28" s="12">
        <v>0.19</v>
      </c>
      <c r="D28" s="12">
        <v>0.19400000000000001</v>
      </c>
      <c r="E28" s="16">
        <v>2.73</v>
      </c>
      <c r="F28" s="17">
        <v>2.1179999999999999</v>
      </c>
      <c r="G28" s="11">
        <v>3.339</v>
      </c>
      <c r="H28" s="11">
        <v>3.45</v>
      </c>
      <c r="I28" s="12">
        <v>-3.0000000000000001E-3</v>
      </c>
      <c r="J28" s="12">
        <v>-3.0000000000000001E-3</v>
      </c>
      <c r="K28" s="12">
        <v>-3.0000000000000001E-3</v>
      </c>
      <c r="L28" s="12">
        <v>-3.0000000000000001E-3</v>
      </c>
      <c r="M28" s="12">
        <v>-3.0000000000000001E-3</v>
      </c>
      <c r="N28" s="12">
        <v>-3.0000000000000001E-3</v>
      </c>
      <c r="O28" s="13">
        <v>560</v>
      </c>
      <c r="R28" s="12">
        <v>0.19</v>
      </c>
      <c r="S28" s="12">
        <v>0.19400000000000001</v>
      </c>
      <c r="T28">
        <v>8.0000000000000002E-3</v>
      </c>
      <c r="U28">
        <f t="shared" si="1"/>
        <v>0.192</v>
      </c>
      <c r="V28">
        <f t="shared" si="0"/>
        <v>0.11600000000000001</v>
      </c>
    </row>
    <row r="29" spans="1:22" ht="14">
      <c r="B29" s="7" t="s">
        <v>29</v>
      </c>
      <c r="C29" s="12">
        <v>0.14699999999999999</v>
      </c>
      <c r="D29" s="12">
        <v>0.15</v>
      </c>
      <c r="E29" s="10">
        <v>2.2530000000000001</v>
      </c>
      <c r="F29" s="18">
        <v>1.9490000000000001</v>
      </c>
      <c r="G29" s="15">
        <v>3.05</v>
      </c>
      <c r="H29" s="11">
        <v>3.4049999999999998</v>
      </c>
      <c r="I29" s="12">
        <v>-3.0000000000000001E-3</v>
      </c>
      <c r="J29" s="12">
        <v>-3.0000000000000001E-3</v>
      </c>
      <c r="K29" s="12">
        <v>-3.0000000000000001E-3</v>
      </c>
      <c r="L29" s="12">
        <v>-3.0000000000000001E-3</v>
      </c>
      <c r="M29" s="12">
        <v>-3.0000000000000001E-3</v>
      </c>
      <c r="N29" s="12">
        <v>-3.0000000000000001E-3</v>
      </c>
      <c r="O29" s="13">
        <v>560</v>
      </c>
      <c r="R29" s="12">
        <v>0.14699999999999999</v>
      </c>
      <c r="S29" s="12">
        <v>0.15</v>
      </c>
      <c r="T29">
        <v>4.0000000000000001E-3</v>
      </c>
      <c r="U29">
        <f t="shared" si="1"/>
        <v>0.14849999999999999</v>
      </c>
      <c r="V29">
        <f t="shared" si="0"/>
        <v>7.2499999999999995E-2</v>
      </c>
    </row>
    <row r="30" spans="1:22" ht="14">
      <c r="B30" s="7" t="s">
        <v>30</v>
      </c>
      <c r="C30" s="12">
        <v>0.14699999999999999</v>
      </c>
      <c r="D30" s="12">
        <v>9.9000000000000005E-2</v>
      </c>
      <c r="E30" s="19">
        <v>1.65</v>
      </c>
      <c r="F30" s="18">
        <v>1.776</v>
      </c>
      <c r="G30" s="16">
        <v>2.8919999999999999</v>
      </c>
      <c r="H30" s="11">
        <v>3.4449999999999998</v>
      </c>
      <c r="I30" s="12">
        <v>-3.0000000000000001E-3</v>
      </c>
      <c r="J30" s="12">
        <v>-2E-3</v>
      </c>
      <c r="K30" s="12">
        <v>-2E-3</v>
      </c>
      <c r="L30" s="12">
        <v>-3.0000000000000001E-3</v>
      </c>
      <c r="M30" s="12">
        <v>-3.0000000000000001E-3</v>
      </c>
      <c r="N30" s="12">
        <v>-2E-3</v>
      </c>
      <c r="O30" s="13">
        <v>560</v>
      </c>
      <c r="R30" s="12">
        <v>0.14699999999999999</v>
      </c>
      <c r="S30" s="12">
        <v>9.9000000000000005E-2</v>
      </c>
      <c r="T30">
        <v>2E-3</v>
      </c>
      <c r="U30">
        <f t="shared" si="1"/>
        <v>0.123</v>
      </c>
      <c r="V30">
        <f t="shared" si="0"/>
        <v>4.7E-2</v>
      </c>
    </row>
    <row r="31" spans="1:22" ht="14">
      <c r="B31" s="7" t="s">
        <v>31</v>
      </c>
      <c r="C31" s="12">
        <v>8.4000000000000005E-2</v>
      </c>
      <c r="D31" s="12">
        <v>8.1000000000000003E-2</v>
      </c>
      <c r="E31" s="20">
        <v>1.4159999999999999</v>
      </c>
      <c r="F31" s="20">
        <v>1.4359999999999999</v>
      </c>
      <c r="G31" s="9">
        <v>2.5910000000000002</v>
      </c>
      <c r="H31" s="11">
        <v>3.2229999999999999</v>
      </c>
      <c r="I31" s="12">
        <v>-3.0000000000000001E-3</v>
      </c>
      <c r="J31" s="12">
        <v>-3.0000000000000001E-3</v>
      </c>
      <c r="K31" s="12">
        <v>-2E-3</v>
      </c>
      <c r="L31" s="12">
        <v>-3.0000000000000001E-3</v>
      </c>
      <c r="M31" s="12">
        <v>-3.0000000000000001E-3</v>
      </c>
      <c r="N31" s="12">
        <v>-3.0000000000000001E-3</v>
      </c>
      <c r="O31" s="13">
        <v>560</v>
      </c>
      <c r="R31" s="12">
        <v>8.4000000000000005E-2</v>
      </c>
      <c r="S31" s="12">
        <v>8.1000000000000003E-2</v>
      </c>
      <c r="T31">
        <v>1E-3</v>
      </c>
      <c r="U31">
        <f t="shared" si="1"/>
        <v>8.2500000000000004E-2</v>
      </c>
      <c r="V31">
        <f t="shared" si="0"/>
        <v>6.5000000000000058E-3</v>
      </c>
    </row>
    <row r="32" spans="1:22" ht="14">
      <c r="B32" s="7" t="s">
        <v>32</v>
      </c>
      <c r="C32" s="12">
        <v>8.3000000000000004E-2</v>
      </c>
      <c r="D32" s="12">
        <v>6.9000000000000006E-2</v>
      </c>
      <c r="E32" s="8">
        <v>0.96699999999999997</v>
      </c>
      <c r="F32" s="8">
        <v>0.95499999999999996</v>
      </c>
      <c r="G32" s="15">
        <v>3.161</v>
      </c>
      <c r="H32" s="10">
        <v>2.3660000000000001</v>
      </c>
      <c r="I32" s="12">
        <v>-2E-3</v>
      </c>
      <c r="J32" s="12">
        <v>-3.0000000000000001E-3</v>
      </c>
      <c r="K32" s="12">
        <v>-3.0000000000000001E-3</v>
      </c>
      <c r="L32" s="12">
        <v>-2E-3</v>
      </c>
      <c r="M32" s="12">
        <v>-3.0000000000000001E-3</v>
      </c>
      <c r="N32" s="12">
        <v>-3.0000000000000001E-3</v>
      </c>
      <c r="O32" s="13">
        <v>560</v>
      </c>
      <c r="R32" s="12">
        <v>8.3000000000000004E-2</v>
      </c>
      <c r="S32" s="12">
        <v>6.9000000000000006E-2</v>
      </c>
      <c r="T32">
        <v>0</v>
      </c>
      <c r="U32">
        <f t="shared" si="1"/>
        <v>7.6000000000000012E-2</v>
      </c>
      <c r="V32">
        <f>U32-0.076</f>
        <v>0</v>
      </c>
    </row>
    <row r="39" spans="18:34">
      <c r="R39" cm="1">
        <f t="array" ref="R39:Y44">TRANSPOSE(C25:H32)</f>
        <v>0.83</v>
      </c>
      <c r="S39">
        <v>0.38800000000000001</v>
      </c>
      <c r="T39">
        <v>0.24099999999999999</v>
      </c>
      <c r="U39">
        <v>0.19</v>
      </c>
      <c r="V39">
        <v>0.14699999999999999</v>
      </c>
      <c r="W39">
        <v>0.14699999999999999</v>
      </c>
      <c r="X39">
        <v>8.4000000000000005E-2</v>
      </c>
      <c r="Y39">
        <v>8.3000000000000004E-2</v>
      </c>
    </row>
    <row r="40" spans="18:34">
      <c r="R40">
        <v>0.82</v>
      </c>
      <c r="S40">
        <v>0.39400000000000002</v>
      </c>
      <c r="T40">
        <v>0.27200000000000002</v>
      </c>
      <c r="U40">
        <v>0.19400000000000001</v>
      </c>
      <c r="V40">
        <v>0.15</v>
      </c>
      <c r="W40">
        <v>9.9000000000000005E-2</v>
      </c>
      <c r="X40">
        <v>8.1000000000000003E-2</v>
      </c>
      <c r="Y40">
        <v>6.9000000000000006E-2</v>
      </c>
    </row>
    <row r="41" spans="18:34">
      <c r="R41">
        <v>2.5649999999999999</v>
      </c>
      <c r="S41">
        <v>3.1379999999999999</v>
      </c>
      <c r="T41">
        <v>2.7130000000000001</v>
      </c>
      <c r="U41">
        <v>2.73</v>
      </c>
      <c r="V41">
        <v>2.2530000000000001</v>
      </c>
      <c r="W41">
        <v>1.65</v>
      </c>
      <c r="X41">
        <v>1.4159999999999999</v>
      </c>
      <c r="Y41">
        <v>0.96699999999999997</v>
      </c>
    </row>
    <row r="42" spans="18:34">
      <c r="R42">
        <v>2.3359999999999999</v>
      </c>
      <c r="S42">
        <v>2.6080000000000001</v>
      </c>
      <c r="T42">
        <v>2.2370000000000001</v>
      </c>
      <c r="U42">
        <v>2.1179999999999999</v>
      </c>
      <c r="V42">
        <v>1.9490000000000001</v>
      </c>
      <c r="W42">
        <v>1.776</v>
      </c>
      <c r="X42">
        <v>1.4359999999999999</v>
      </c>
      <c r="Y42">
        <v>0.95499999999999996</v>
      </c>
    </row>
    <row r="43" spans="18:34">
      <c r="R43">
        <v>3.2829999999999999</v>
      </c>
      <c r="S43">
        <v>3.258</v>
      </c>
      <c r="T43">
        <v>3.4209999999999998</v>
      </c>
      <c r="U43">
        <v>3.339</v>
      </c>
      <c r="V43">
        <v>3.05</v>
      </c>
      <c r="W43">
        <v>2.8919999999999999</v>
      </c>
      <c r="X43">
        <v>2.5910000000000002</v>
      </c>
      <c r="Y43">
        <v>3.161</v>
      </c>
    </row>
    <row r="44" spans="18:34">
      <c r="R44">
        <v>3.2280000000000002</v>
      </c>
      <c r="S44">
        <v>3.169</v>
      </c>
      <c r="T44">
        <v>3.2450000000000001</v>
      </c>
      <c r="U44">
        <v>3.45</v>
      </c>
      <c r="V44">
        <v>3.4049999999999998</v>
      </c>
      <c r="W44">
        <v>3.4449999999999998</v>
      </c>
      <c r="X44">
        <v>3.2229999999999999</v>
      </c>
      <c r="Y44">
        <v>2.3660000000000001</v>
      </c>
    </row>
    <row r="47" spans="18:34">
      <c r="R47">
        <v>8</v>
      </c>
      <c r="S47">
        <v>7</v>
      </c>
      <c r="T47">
        <v>6</v>
      </c>
      <c r="U47">
        <v>5</v>
      </c>
      <c r="V47">
        <v>4</v>
      </c>
      <c r="W47">
        <v>3</v>
      </c>
      <c r="X47">
        <v>2</v>
      </c>
      <c r="Y47">
        <v>1</v>
      </c>
    </row>
    <row r="48" spans="18:34">
      <c r="R48">
        <v>8.3000000000000004E-2</v>
      </c>
      <c r="S48">
        <v>8.4000000000000005E-2</v>
      </c>
      <c r="T48">
        <v>0.14699999999999999</v>
      </c>
      <c r="U48">
        <v>0.14699999999999999</v>
      </c>
      <c r="V48">
        <v>0.19</v>
      </c>
      <c r="W48">
        <v>0.24099999999999999</v>
      </c>
      <c r="X48">
        <v>0.38800000000000001</v>
      </c>
      <c r="Y48">
        <v>0.83</v>
      </c>
      <c r="AA48">
        <v>3.161</v>
      </c>
      <c r="AB48">
        <v>2.5910000000000002</v>
      </c>
      <c r="AC48">
        <v>2.8919999999999999</v>
      </c>
      <c r="AD48">
        <v>3.05</v>
      </c>
      <c r="AE48">
        <v>3.339</v>
      </c>
      <c r="AF48">
        <v>3.4209999999999998</v>
      </c>
      <c r="AG48">
        <v>3.258</v>
      </c>
      <c r="AH48">
        <v>3.2829999999999999</v>
      </c>
    </row>
    <row r="49" spans="18:34">
      <c r="R49">
        <v>6.9000000000000006E-2</v>
      </c>
      <c r="S49">
        <v>8.1000000000000003E-2</v>
      </c>
      <c r="T49">
        <v>9.9000000000000005E-2</v>
      </c>
      <c r="U49">
        <v>0.15</v>
      </c>
      <c r="V49">
        <v>0.19400000000000001</v>
      </c>
      <c r="W49">
        <v>0.27200000000000002</v>
      </c>
      <c r="X49">
        <v>0.39400000000000002</v>
      </c>
      <c r="Y49">
        <v>0.82</v>
      </c>
      <c r="AA49">
        <v>2.3660000000000001</v>
      </c>
      <c r="AB49">
        <v>3.2229999999999999</v>
      </c>
      <c r="AC49">
        <v>3.4449999999999998</v>
      </c>
      <c r="AD49">
        <v>3.4049999999999998</v>
      </c>
      <c r="AE49">
        <v>3.45</v>
      </c>
      <c r="AF49">
        <v>3.2450000000000001</v>
      </c>
      <c r="AG49">
        <v>3.169</v>
      </c>
      <c r="AH49">
        <v>3.2280000000000002</v>
      </c>
    </row>
    <row r="50" spans="18:34">
      <c r="R50">
        <v>0.96699999999999997</v>
      </c>
      <c r="S50">
        <v>1.4159999999999999</v>
      </c>
      <c r="T50">
        <v>1.65</v>
      </c>
      <c r="U50">
        <v>2.2530000000000001</v>
      </c>
      <c r="V50">
        <v>2.73</v>
      </c>
      <c r="W50">
        <v>2.7130000000000001</v>
      </c>
      <c r="X50">
        <v>3.1379999999999999</v>
      </c>
      <c r="Y50">
        <v>2.5649999999999999</v>
      </c>
      <c r="AA50">
        <f>(AA48+AA49)/2</f>
        <v>2.7635000000000001</v>
      </c>
      <c r="AB50">
        <f t="shared" ref="AB50:AH50" si="2">(AB48+AB49)/2</f>
        <v>2.907</v>
      </c>
      <c r="AC50">
        <f t="shared" si="2"/>
        <v>3.1684999999999999</v>
      </c>
      <c r="AD50">
        <f t="shared" si="2"/>
        <v>3.2275</v>
      </c>
      <c r="AE50">
        <f t="shared" si="2"/>
        <v>3.3944999999999999</v>
      </c>
      <c r="AF50">
        <f t="shared" si="2"/>
        <v>3.3330000000000002</v>
      </c>
      <c r="AG50">
        <f t="shared" si="2"/>
        <v>3.2134999999999998</v>
      </c>
      <c r="AH50">
        <f t="shared" si="2"/>
        <v>3.2555000000000001</v>
      </c>
    </row>
    <row r="51" spans="18:34">
      <c r="R51">
        <v>0.95499999999999996</v>
      </c>
      <c r="S51">
        <v>1.4359999999999999</v>
      </c>
      <c r="T51">
        <v>1.776</v>
      </c>
      <c r="U51">
        <v>1.9490000000000001</v>
      </c>
      <c r="V51">
        <v>2.1179999999999999</v>
      </c>
      <c r="W51">
        <v>2.2370000000000001</v>
      </c>
      <c r="X51">
        <v>2.6080000000000001</v>
      </c>
      <c r="Y51">
        <v>2.3359999999999999</v>
      </c>
      <c r="AA51">
        <f>ABS(AA48-AA49)</f>
        <v>0.79499999999999993</v>
      </c>
      <c r="AB51">
        <f t="shared" ref="AB51:AH51" si="3">ABS(AB48-AB49)</f>
        <v>0.63199999999999967</v>
      </c>
      <c r="AC51">
        <f t="shared" si="3"/>
        <v>0.55299999999999994</v>
      </c>
      <c r="AD51">
        <f t="shared" si="3"/>
        <v>0.35499999999999998</v>
      </c>
      <c r="AE51">
        <f t="shared" si="3"/>
        <v>0.11100000000000021</v>
      </c>
      <c r="AF51">
        <f t="shared" si="3"/>
        <v>0.17599999999999971</v>
      </c>
      <c r="AG51">
        <f t="shared" si="3"/>
        <v>8.8999999999999968E-2</v>
      </c>
      <c r="AH51">
        <f t="shared" si="3"/>
        <v>5.4999999999999716E-2</v>
      </c>
    </row>
    <row r="52" spans="18:34">
      <c r="R52">
        <v>3.161</v>
      </c>
      <c r="S52">
        <v>2.5910000000000002</v>
      </c>
      <c r="T52">
        <v>2.8919999999999999</v>
      </c>
      <c r="U52">
        <v>3.05</v>
      </c>
      <c r="V52">
        <v>3.339</v>
      </c>
      <c r="W52">
        <v>3.4209999999999998</v>
      </c>
      <c r="X52">
        <v>3.258</v>
      </c>
      <c r="Y52">
        <v>3.2829999999999999</v>
      </c>
    </row>
    <row r="53" spans="18:34">
      <c r="R53">
        <v>2.3660000000000001</v>
      </c>
      <c r="S53">
        <v>3.2229999999999999</v>
      </c>
      <c r="T53">
        <v>3.4449999999999998</v>
      </c>
      <c r="U53">
        <v>3.4049999999999998</v>
      </c>
      <c r="V53">
        <v>3.45</v>
      </c>
      <c r="W53">
        <v>3.2450000000000001</v>
      </c>
      <c r="X53">
        <v>3.169</v>
      </c>
      <c r="Y53">
        <v>3.2280000000000002</v>
      </c>
    </row>
  </sheetData>
  <sortState xmlns:xlrd2="http://schemas.microsoft.com/office/spreadsheetml/2017/richdata2" columnSort="1" ref="R47:Y53">
    <sortCondition descending="1" ref="R47:Y47"/>
  </sortState>
  <phoneticPr fontId="0" type="noConversion"/>
  <pageMargins left="0.75" right="0.75" top="1" bottom="1" header="0.5" footer="0.5"/>
  <pageSetup paperSize="256"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板 1 - 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biochemistry lab</dc:creator>
  <cp:lastModifiedBy>Microsoft Office User</cp:lastModifiedBy>
  <dcterms:created xsi:type="dcterms:W3CDTF">2011-01-18T20:51:17Z</dcterms:created>
  <dcterms:modified xsi:type="dcterms:W3CDTF">2024-12-05T17:22:44Z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utoMacroName">
    <vt:lpwstr>None</vt:lpwstr>
  </property>
  <property fmtid="{D5CDD505-2E9C-101B-9397-08002B2CF9AE}" pid="3" name="LastEdited">
    <vt:lpwstr>12.0</vt:lpwstr>
  </property>
</Properties>
</file>