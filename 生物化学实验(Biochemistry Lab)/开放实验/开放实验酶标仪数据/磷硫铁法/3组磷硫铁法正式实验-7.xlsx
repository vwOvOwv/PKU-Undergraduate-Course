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20" windowWidth="9435" windowHeight="6915"/>
  </bookViews>
  <sheets>
    <sheet name="板 1 - Sheet1" sheetId="1" r:id="rId1"/>
  </sheets>
  <definedNames>
    <definedName name="MethodPointer1">1843556336</definedName>
    <definedName name="MethodPointer2">668</definedName>
  </definedNames>
  <calcPr calcId="124519"/>
</workbook>
</file>

<file path=xl/calcChain.xml><?xml version="1.0" encoding="utf-8"?>
<calcChain xmlns="http://schemas.openxmlformats.org/spreadsheetml/2006/main">
  <c r="U24" i="1"/>
  <c r="U20"/>
  <c r="U21"/>
  <c r="U22"/>
  <c r="U25"/>
  <c r="U26"/>
  <c r="U27"/>
  <c r="U28"/>
  <c r="U29"/>
  <c r="U30"/>
  <c r="U31"/>
  <c r="U32"/>
  <c r="U33"/>
  <c r="U18"/>
</calcChain>
</file>

<file path=xl/sharedStrings.xml><?xml version="1.0" encoding="utf-8"?>
<sst xmlns="http://schemas.openxmlformats.org/spreadsheetml/2006/main" count="47" uniqueCount="35">
  <si>
    <t>软件版本</t>
  </si>
  <si>
    <t>3.05.11</t>
  </si>
  <si>
    <r>
      <t>实验文件路径</t>
    </r>
    <r>
      <rPr>
        <sz val="10"/>
        <rFont val="Arial"/>
        <family val="2"/>
      </rPr>
      <t>:</t>
    </r>
  </si>
  <si>
    <r>
      <t>C:\Users\Public\Documents\Experiments\</t>
    </r>
    <r>
      <rPr>
        <sz val="10"/>
        <rFont val="宋体"/>
        <family val="3"/>
        <charset val="134"/>
      </rPr>
      <t>周五三组正式实验</t>
    </r>
    <r>
      <rPr>
        <sz val="10"/>
        <rFont val="Arial"/>
        <family val="2"/>
      </rPr>
      <t xml:space="preserve"> lpy</t>
    </r>
    <r>
      <rPr>
        <sz val="10"/>
        <rFont val="宋体"/>
        <family val="3"/>
        <charset val="134"/>
      </rPr>
      <t>磷硫铁法</t>
    </r>
    <r>
      <rPr>
        <sz val="10"/>
        <rFont val="Arial"/>
        <family val="2"/>
      </rPr>
      <t>-7-1.xpt</t>
    </r>
  </si>
  <si>
    <r>
      <t>方案文件路径</t>
    </r>
    <r>
      <rPr>
        <sz val="10"/>
        <rFont val="Arial"/>
        <family val="2"/>
      </rPr>
      <t>:</t>
    </r>
  </si>
  <si>
    <t>板编号</t>
  </si>
  <si>
    <r>
      <t>板</t>
    </r>
    <r>
      <rPr>
        <sz val="10"/>
        <rFont val="Arial"/>
        <family val="2"/>
      </rPr>
      <t xml:space="preserve"> 1</t>
    </r>
  </si>
  <si>
    <t>日期</t>
  </si>
  <si>
    <t>时间</t>
  </si>
  <si>
    <r>
      <t>检测仪类型</t>
    </r>
    <r>
      <rPr>
        <sz val="10"/>
        <rFont val="Arial"/>
        <family val="2"/>
      </rPr>
      <t>:</t>
    </r>
  </si>
  <si>
    <t>Epoch 2</t>
  </si>
  <si>
    <r>
      <t>检测仪序列号</t>
    </r>
    <r>
      <rPr>
        <sz val="10"/>
        <rFont val="Arial"/>
        <family val="2"/>
      </rPr>
      <t>:</t>
    </r>
  </si>
  <si>
    <t>检测类型</t>
  </si>
  <si>
    <t>检测仪</t>
  </si>
  <si>
    <t>程序详细信息</t>
  </si>
  <si>
    <t>板类型</t>
  </si>
  <si>
    <t>96 WELL PLATE</t>
  </si>
  <si>
    <t>完成后弹出板</t>
  </si>
  <si>
    <t>检测</t>
  </si>
  <si>
    <r>
      <t>吸收光</t>
    </r>
    <r>
      <rPr>
        <sz val="10"/>
        <rFont val="Arial"/>
        <family val="2"/>
      </rPr>
      <t xml:space="preserve"> </t>
    </r>
    <r>
      <rPr>
        <sz val="10"/>
        <rFont val="宋体"/>
        <family val="3"/>
        <charset val="134"/>
      </rPr>
      <t>终点</t>
    </r>
  </si>
  <si>
    <t>全板</t>
  </si>
  <si>
    <r>
      <t>波长</t>
    </r>
    <r>
      <rPr>
        <sz val="10"/>
        <rFont val="Arial"/>
        <family val="2"/>
      </rPr>
      <t>:  560</t>
    </r>
  </si>
  <si>
    <r>
      <t>检测速度</t>
    </r>
    <r>
      <rPr>
        <sz val="10"/>
        <rFont val="Arial"/>
        <family val="2"/>
      </rPr>
      <t xml:space="preserve">: </t>
    </r>
    <r>
      <rPr>
        <sz val="10"/>
        <rFont val="宋体"/>
        <family val="3"/>
        <charset val="134"/>
      </rPr>
      <t>正常</t>
    </r>
    <r>
      <rPr>
        <sz val="10"/>
        <rFont val="Arial"/>
        <family val="2"/>
      </rPr>
      <t xml:space="preserve">,  </t>
    </r>
    <r>
      <rPr>
        <sz val="10"/>
        <rFont val="宋体"/>
        <family val="3"/>
        <charset val="134"/>
      </rPr>
      <t>延迟</t>
    </r>
    <r>
      <rPr>
        <sz val="10"/>
        <rFont val="Arial"/>
        <family val="2"/>
      </rPr>
      <t xml:space="preserve">: 100 msec,  </t>
    </r>
    <r>
      <rPr>
        <sz val="10"/>
        <rFont val="宋体"/>
        <family val="3"/>
        <charset val="134"/>
      </rPr>
      <t>测量值</t>
    </r>
    <r>
      <rPr>
        <sz val="10"/>
        <rFont val="Arial"/>
        <family val="2"/>
      </rPr>
      <t>/</t>
    </r>
    <r>
      <rPr>
        <sz val="10"/>
        <rFont val="宋体"/>
        <family val="3"/>
        <charset val="134"/>
      </rPr>
      <t>数据点</t>
    </r>
    <r>
      <rPr>
        <sz val="10"/>
        <rFont val="Arial"/>
        <family val="2"/>
      </rPr>
      <t>: 8</t>
    </r>
  </si>
  <si>
    <t>结果</t>
  </si>
  <si>
    <r>
      <t>实际温度</t>
    </r>
    <r>
      <rPr>
        <sz val="10"/>
        <rFont val="Arial"/>
        <family val="2"/>
      </rPr>
      <t>:</t>
    </r>
  </si>
  <si>
    <t>A</t>
  </si>
  <si>
    <t>560:560</t>
  </si>
  <si>
    <t>B</t>
  </si>
  <si>
    <t>C</t>
  </si>
  <si>
    <t>D</t>
  </si>
  <si>
    <t>OVRFLW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</si>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</sst>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>
  <fonts count="6">
    <font>
      <sz val="10"/>
      <name val="Arial"/>
      <family val="2"/>
    </font>
    <font>
      <sz val="10"/>
      <name val="宋体"/>
      <family val="3"/>
      <charset val="134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C9E0F4"/>
        <bgColor indexed="64"/>
      </patternFill>
    </fill>
    <fill>
      <patternFill patternType="solid">
        <fgColor rgb="FF6FA9D6"/>
        <bgColor indexed="64"/>
      </patternFill>
    </fill>
    <fill>
      <patternFill patternType="solid">
        <fgColor rgb="FFABCEEA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9CC5E5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plotArea>
      <c:layout/>
      <c:scatterChart>
        <c:scatterStyle val="smoothMarker"/>
        <c:ser>
          <c:idx val="0"/>
          <c:order val="0"/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'板 1 - Sheet1'!$T$18:$T$33</c:f>
              <c:numCache>
                <c:formatCode>General</c:formatCode>
                <c:ptCount val="16"/>
                <c:pt idx="0">
                  <c:v>1.6</c:v>
                </c:pt>
                <c:pt idx="2">
                  <c:v>1.3</c:v>
                </c:pt>
                <c:pt idx="3">
                  <c:v>1.1000000000000001</c:v>
                </c:pt>
                <c:pt idx="4">
                  <c:v>0.9</c:v>
                </c:pt>
                <c:pt idx="6">
                  <c:v>0.7</c:v>
                </c:pt>
                <c:pt idx="7">
                  <c:v>0.6</c:v>
                </c:pt>
                <c:pt idx="8">
                  <c:v>0.4</c:v>
                </c:pt>
                <c:pt idx="9">
                  <c:v>0.2</c:v>
                </c:pt>
                <c:pt idx="10">
                  <c:v>0.1</c:v>
                </c:pt>
                <c:pt idx="11">
                  <c:v>0.08</c:v>
                </c:pt>
                <c:pt idx="12">
                  <c:v>0.04</c:v>
                </c:pt>
                <c:pt idx="13">
                  <c:v>0.02</c:v>
                </c:pt>
                <c:pt idx="14">
                  <c:v>0.01</c:v>
                </c:pt>
                <c:pt idx="15">
                  <c:v>0</c:v>
                </c:pt>
              </c:numCache>
            </c:numRef>
          </c:xVal>
          <c:yVal>
            <c:numRef>
              <c:f>'板 1 - Sheet1'!$U$18:$U$33</c:f>
              <c:numCache>
                <c:formatCode>General</c:formatCode>
                <c:ptCount val="16"/>
                <c:pt idx="0">
                  <c:v>2.2875000000000001</c:v>
                </c:pt>
                <c:pt idx="2">
                  <c:v>1.8130000000000002</c:v>
                </c:pt>
                <c:pt idx="3">
                  <c:v>1.5430000000000001</c:v>
                </c:pt>
                <c:pt idx="4">
                  <c:v>1.2999999999999998</c:v>
                </c:pt>
                <c:pt idx="6">
                  <c:v>1.0779999999999998</c:v>
                </c:pt>
                <c:pt idx="7">
                  <c:v>0.91300000000000003</c:v>
                </c:pt>
                <c:pt idx="8">
                  <c:v>0.70849999999999991</c:v>
                </c:pt>
                <c:pt idx="9">
                  <c:v>0.42949999999999999</c:v>
                </c:pt>
                <c:pt idx="10">
                  <c:v>0.28349999999999997</c:v>
                </c:pt>
                <c:pt idx="11">
                  <c:v>0.17699999999999999</c:v>
                </c:pt>
                <c:pt idx="12">
                  <c:v>0.114</c:v>
                </c:pt>
                <c:pt idx="13">
                  <c:v>0.08</c:v>
                </c:pt>
                <c:pt idx="14">
                  <c:v>6.8500000000000005E-2</c:v>
                </c:pt>
                <c:pt idx="15">
                  <c:v>5.1000000000000004E-2</c:v>
                </c:pt>
              </c:numCache>
            </c:numRef>
          </c:yVal>
          <c:smooth val="1"/>
        </c:ser>
        <c:axId val="56875264"/>
        <c:axId val="56873728"/>
      </c:scatterChart>
      <c:valAx>
        <c:axId val="56875264"/>
        <c:scaling>
          <c:orientation val="minMax"/>
        </c:scaling>
        <c:axPos val="b"/>
        <c:numFmt formatCode="General" sourceLinked="1"/>
        <c:tickLblPos val="nextTo"/>
        <c:crossAx val="56873728"/>
        <c:crosses val="autoZero"/>
        <c:crossBetween val="midCat"/>
      </c:valAx>
      <c:valAx>
        <c:axId val="56873728"/>
        <c:scaling>
          <c:orientation val="minMax"/>
        </c:scaling>
        <c:axPos val="l"/>
        <c:majorGridlines/>
        <c:numFmt formatCode="General" sourceLinked="1"/>
        <c:tickLblPos val="nextTo"/>
        <c:crossAx val="56875264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7</xdr:row>
      <xdr:rowOff>28575</xdr:rowOff>
    </xdr:from>
    <xdr:to>
      <xdr:col>15</xdr:col>
      <xdr:colOff>457200</xdr:colOff>
      <xdr:row>24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U33"/>
  <sheetViews>
    <sheetView tabSelected="1" workbookViewId="0">
      <selection activeCell="M31" sqref="M31"/>
    </sheetView>
  </sheetViews>
  <sheetFormatPr defaultRowHeight="12.75"/>
  <cols>
    <col min="1" max="1" width="20.7109375" customWidth="1"/>
    <col min="2" max="2" width="12.7109375" customWidth="1"/>
  </cols>
  <sheetData>
    <row r="2" spans="1:2">
      <c r="A2" s="1" t="s">
        <v>0</v>
      </c>
      <c r="B2" t="s">
        <v>1</v>
      </c>
    </row>
    <row r="4" spans="1:2">
      <c r="A4" s="1" t="s">
        <v>2</v>
      </c>
      <c r="B4" t="s">
        <v>3</v>
      </c>
    </row>
    <row r="5" spans="1:2">
      <c r="A5" s="1" t="s">
        <v>4</v>
      </c>
    </row>
    <row r="6" spans="1:2">
      <c r="A6" s="1" t="s">
        <v>5</v>
      </c>
      <c r="B6" s="1" t="s">
        <v>6</v>
      </c>
    </row>
    <row r="7" spans="1:2">
      <c r="A7" s="1" t="s">
        <v>7</v>
      </c>
      <c r="B7" s="2">
        <v>45626</v>
      </c>
    </row>
    <row r="8" spans="1:2">
      <c r="A8" s="1" t="s">
        <v>8</v>
      </c>
      <c r="B8" s="3">
        <v>0.68523148148148139</v>
      </c>
    </row>
    <row r="9" spans="1:2">
      <c r="A9" s="1" t="s">
        <v>9</v>
      </c>
      <c r="B9" t="s">
        <v>10</v>
      </c>
    </row>
    <row r="10" spans="1:2">
      <c r="A10" s="1" t="s">
        <v>11</v>
      </c>
      <c r="B10">
        <v>19012425</v>
      </c>
    </row>
    <row r="11" spans="1:2">
      <c r="A11" s="1" t="s">
        <v>12</v>
      </c>
      <c r="B11" s="1" t="s">
        <v>13</v>
      </c>
    </row>
    <row r="13" spans="1:2">
      <c r="A13" s="4" t="s">
        <v>14</v>
      </c>
      <c r="B13" s="5"/>
    </row>
    <row r="14" spans="1:2">
      <c r="A14" s="1" t="s">
        <v>15</v>
      </c>
      <c r="B14" t="s">
        <v>16</v>
      </c>
    </row>
    <row r="15" spans="1:2">
      <c r="A15" s="1" t="s">
        <v>17</v>
      </c>
    </row>
    <row r="16" spans="1:2">
      <c r="A16" s="1" t="s">
        <v>18</v>
      </c>
      <c r="B16">
        <v>560</v>
      </c>
    </row>
    <row r="17" spans="1:21">
      <c r="B17" s="1" t="s">
        <v>19</v>
      </c>
    </row>
    <row r="18" spans="1:21">
      <c r="B18" s="1" t="s">
        <v>20</v>
      </c>
      <c r="R18" s="9">
        <v>1.9750000000000001</v>
      </c>
      <c r="S18" s="10">
        <v>2.6</v>
      </c>
      <c r="T18">
        <v>1.6</v>
      </c>
      <c r="U18">
        <f>(R18+S18)/2</f>
        <v>2.2875000000000001</v>
      </c>
    </row>
    <row r="19" spans="1:21">
      <c r="B19" s="1" t="s">
        <v>21</v>
      </c>
      <c r="R19" s="15">
        <v>1.7949999999999999</v>
      </c>
      <c r="S19" s="9">
        <v>1.962</v>
      </c>
    </row>
    <row r="20" spans="1:21">
      <c r="B20" s="1" t="s">
        <v>22</v>
      </c>
      <c r="R20" s="17">
        <v>1.5429999999999999</v>
      </c>
      <c r="S20" s="9">
        <v>2.0830000000000002</v>
      </c>
      <c r="T20">
        <v>1.3</v>
      </c>
      <c r="U20">
        <f t="shared" ref="U19:U33" si="0">(R20+S20)/2</f>
        <v>1.8130000000000002</v>
      </c>
    </row>
    <row r="21" spans="1:21">
      <c r="R21" s="17">
        <v>1.6120000000000001</v>
      </c>
      <c r="S21" s="20">
        <v>1.474</v>
      </c>
      <c r="T21">
        <v>1.1000000000000001</v>
      </c>
      <c r="U21">
        <f t="shared" si="0"/>
        <v>1.5430000000000001</v>
      </c>
    </row>
    <row r="22" spans="1:21">
      <c r="A22" s="4" t="s">
        <v>23</v>
      </c>
      <c r="B22" s="5"/>
      <c r="R22" s="20">
        <v>1.3859999999999999</v>
      </c>
      <c r="S22" s="18">
        <v>1.214</v>
      </c>
      <c r="T22">
        <v>0.9</v>
      </c>
      <c r="U22">
        <f t="shared" si="0"/>
        <v>1.2999999999999998</v>
      </c>
    </row>
    <row r="23" spans="1:21">
      <c r="A23" s="1" t="s">
        <v>24</v>
      </c>
      <c r="B23">
        <v>24.6</v>
      </c>
      <c r="R23" s="18">
        <v>1.2410000000000001</v>
      </c>
      <c r="S23" s="20">
        <v>1.2889999999999999</v>
      </c>
    </row>
    <row r="24" spans="1:21">
      <c r="R24" s="16">
        <v>1.0329999999999999</v>
      </c>
      <c r="S24" s="18">
        <v>1.123</v>
      </c>
      <c r="T24">
        <v>0.7</v>
      </c>
      <c r="U24">
        <f t="shared" si="0"/>
        <v>1.0779999999999998</v>
      </c>
    </row>
    <row r="25" spans="1:21">
      <c r="B25" s="6"/>
      <c r="C25" s="7">
        <v>1</v>
      </c>
      <c r="D25" s="7">
        <v>2</v>
      </c>
      <c r="E25" s="7">
        <v>3</v>
      </c>
      <c r="F25" s="7">
        <v>4</v>
      </c>
      <c r="G25" s="7">
        <v>5</v>
      </c>
      <c r="H25" s="7">
        <v>6</v>
      </c>
      <c r="I25" s="7">
        <v>7</v>
      </c>
      <c r="J25" s="7">
        <v>8</v>
      </c>
      <c r="K25" s="7">
        <v>9</v>
      </c>
      <c r="L25" s="7">
        <v>10</v>
      </c>
      <c r="M25" s="7">
        <v>11</v>
      </c>
      <c r="N25" s="7">
        <v>12</v>
      </c>
      <c r="R25" s="16">
        <v>0.90700000000000003</v>
      </c>
      <c r="S25" s="16">
        <v>0.91900000000000004</v>
      </c>
      <c r="T25">
        <v>0.6</v>
      </c>
      <c r="U25">
        <f t="shared" si="0"/>
        <v>0.91300000000000003</v>
      </c>
    </row>
    <row r="26" spans="1:21">
      <c r="B26" s="7" t="s">
        <v>25</v>
      </c>
      <c r="C26" s="8">
        <v>0.72499999999999998</v>
      </c>
      <c r="D26" s="8">
        <v>0.69199999999999995</v>
      </c>
      <c r="E26" s="9">
        <v>1.9750000000000001</v>
      </c>
      <c r="F26" s="10">
        <v>2.6</v>
      </c>
      <c r="G26" s="11">
        <v>-3.0000000000000001E-3</v>
      </c>
      <c r="H26" s="11">
        <v>4.2999999999999997E-2</v>
      </c>
      <c r="I26" s="11">
        <v>4.2999999999999997E-2</v>
      </c>
      <c r="J26" s="11">
        <v>4.3999999999999997E-2</v>
      </c>
      <c r="K26" s="11">
        <v>4.2999999999999997E-2</v>
      </c>
      <c r="L26" s="11">
        <v>4.3999999999999997E-2</v>
      </c>
      <c r="M26" s="11">
        <v>4.3999999999999997E-2</v>
      </c>
      <c r="N26" s="11">
        <v>-3.0000000000000001E-3</v>
      </c>
      <c r="O26" s="12" t="s">
        <v>26</v>
      </c>
      <c r="R26" s="8">
        <v>0.72499999999999998</v>
      </c>
      <c r="S26" s="8">
        <v>0.69199999999999995</v>
      </c>
      <c r="T26">
        <v>0.4</v>
      </c>
      <c r="U26">
        <f t="shared" si="0"/>
        <v>0.70849999999999991</v>
      </c>
    </row>
    <row r="27" spans="1:21">
      <c r="B27" s="7" t="s">
        <v>27</v>
      </c>
      <c r="C27" s="13">
        <v>0.41399999999999998</v>
      </c>
      <c r="D27" s="14">
        <v>0.44500000000000001</v>
      </c>
      <c r="E27" s="15">
        <v>1.7949999999999999</v>
      </c>
      <c r="F27" s="9">
        <v>1.962</v>
      </c>
      <c r="G27" s="11">
        <v>-3.0000000000000001E-3</v>
      </c>
      <c r="H27" s="23">
        <v>0.46300000000000002</v>
      </c>
      <c r="I27" s="23">
        <v>0.50800000000000001</v>
      </c>
      <c r="J27" s="8">
        <v>0.67300000000000004</v>
      </c>
      <c r="K27" s="8">
        <v>0.70699999999999996</v>
      </c>
      <c r="L27" s="16">
        <v>0.99099999999999999</v>
      </c>
      <c r="M27" s="16">
        <v>0.98299999999999998</v>
      </c>
      <c r="N27" s="11">
        <v>-3.0000000000000001E-3</v>
      </c>
      <c r="O27" s="12" t="s">
        <v>26</v>
      </c>
      <c r="R27" s="13">
        <v>0.41399999999999998</v>
      </c>
      <c r="S27" s="14">
        <v>0.44500000000000001</v>
      </c>
      <c r="T27">
        <v>0.2</v>
      </c>
      <c r="U27">
        <f t="shared" si="0"/>
        <v>0.42949999999999999</v>
      </c>
    </row>
    <row r="28" spans="1:21">
      <c r="B28" s="7" t="s">
        <v>28</v>
      </c>
      <c r="C28" s="13">
        <v>0.27100000000000002</v>
      </c>
      <c r="D28" s="13">
        <v>0.29599999999999999</v>
      </c>
      <c r="E28" s="17">
        <v>1.5429999999999999</v>
      </c>
      <c r="F28" s="9">
        <v>2.0830000000000002</v>
      </c>
      <c r="G28" s="11">
        <v>-3.0000000000000001E-3</v>
      </c>
      <c r="H28" s="23">
        <v>1.26</v>
      </c>
      <c r="I28" s="23">
        <v>1.1919999999999999</v>
      </c>
      <c r="J28" s="17">
        <v>1.5149999999999999</v>
      </c>
      <c r="K28" s="17">
        <v>1.544</v>
      </c>
      <c r="L28" s="19">
        <v>2.198</v>
      </c>
      <c r="M28" s="19">
        <v>2.1850000000000001</v>
      </c>
      <c r="N28" s="11">
        <v>-3.0000000000000001E-3</v>
      </c>
      <c r="O28" s="12" t="s">
        <v>26</v>
      </c>
      <c r="R28" s="13">
        <v>0.27100000000000002</v>
      </c>
      <c r="S28" s="13">
        <v>0.29599999999999999</v>
      </c>
      <c r="T28">
        <v>0.1</v>
      </c>
      <c r="U28">
        <f t="shared" si="0"/>
        <v>0.28349999999999997</v>
      </c>
    </row>
    <row r="29" spans="1:21">
      <c r="B29" s="7" t="s">
        <v>29</v>
      </c>
      <c r="C29" s="11">
        <v>0.16900000000000001</v>
      </c>
      <c r="D29" s="11">
        <v>0.185</v>
      </c>
      <c r="E29" s="17">
        <v>1.6120000000000001</v>
      </c>
      <c r="F29" s="20">
        <v>1.474</v>
      </c>
      <c r="G29" s="11">
        <v>-3.0000000000000001E-3</v>
      </c>
      <c r="H29" s="23">
        <v>2.1859999999999999</v>
      </c>
      <c r="I29" s="23">
        <v>2.4870000000000001</v>
      </c>
      <c r="J29" s="21">
        <v>2.8759999999999999</v>
      </c>
      <c r="K29" s="21">
        <v>3.0030000000000001</v>
      </c>
      <c r="L29" s="22" t="s">
        <v>30</v>
      </c>
      <c r="M29" s="22" t="s">
        <v>30</v>
      </c>
      <c r="N29" s="11">
        <v>-3.0000000000000001E-3</v>
      </c>
      <c r="O29" s="12" t="s">
        <v>26</v>
      </c>
      <c r="R29" s="11">
        <v>0.16900000000000001</v>
      </c>
      <c r="S29" s="11">
        <v>0.185</v>
      </c>
      <c r="T29">
        <v>0.08</v>
      </c>
      <c r="U29">
        <f t="shared" si="0"/>
        <v>0.17699999999999999</v>
      </c>
    </row>
    <row r="30" spans="1:21">
      <c r="B30" s="7" t="s">
        <v>31</v>
      </c>
      <c r="C30" s="11">
        <v>0.112</v>
      </c>
      <c r="D30" s="11">
        <v>0.11600000000000001</v>
      </c>
      <c r="E30" s="20">
        <v>1.3859999999999999</v>
      </c>
      <c r="F30" s="18">
        <v>1.214</v>
      </c>
      <c r="G30" s="11">
        <v>-3.0000000000000001E-3</v>
      </c>
      <c r="H30" s="11">
        <v>4.2999999999999997E-2</v>
      </c>
      <c r="I30" s="11">
        <v>4.5999999999999999E-2</v>
      </c>
      <c r="J30" s="11">
        <v>5.1999999999999998E-2</v>
      </c>
      <c r="K30" s="11">
        <v>4.3999999999999997E-2</v>
      </c>
      <c r="L30" s="11">
        <v>4.3999999999999997E-2</v>
      </c>
      <c r="M30" s="11">
        <v>4.2999999999999997E-2</v>
      </c>
      <c r="N30" s="11">
        <v>-3.0000000000000001E-3</v>
      </c>
      <c r="O30" s="12" t="s">
        <v>26</v>
      </c>
      <c r="R30" s="11">
        <v>0.112</v>
      </c>
      <c r="S30" s="11">
        <v>0.11600000000000001</v>
      </c>
      <c r="T30">
        <v>0.04</v>
      </c>
      <c r="U30">
        <f t="shared" si="0"/>
        <v>0.114</v>
      </c>
    </row>
    <row r="31" spans="1:21">
      <c r="B31" s="7" t="s">
        <v>32</v>
      </c>
      <c r="C31" s="11">
        <v>7.9000000000000001E-2</v>
      </c>
      <c r="D31" s="11">
        <v>8.1000000000000003E-2</v>
      </c>
      <c r="E31" s="18">
        <v>1.2410000000000001</v>
      </c>
      <c r="F31" s="20">
        <v>1.2889999999999999</v>
      </c>
      <c r="G31" s="11">
        <v>-3.0000000000000001E-3</v>
      </c>
      <c r="H31" s="23">
        <v>2.3540000000000001</v>
      </c>
      <c r="I31" s="23">
        <v>1.998</v>
      </c>
      <c r="J31" s="23">
        <v>0.41899999999999998</v>
      </c>
      <c r="K31" s="23">
        <v>0.39400000000000002</v>
      </c>
      <c r="L31" s="13">
        <v>0.255</v>
      </c>
      <c r="M31" s="13">
        <v>0.26400000000000001</v>
      </c>
      <c r="N31" s="11">
        <v>-3.0000000000000001E-3</v>
      </c>
      <c r="O31" s="12" t="s">
        <v>26</v>
      </c>
      <c r="R31" s="11">
        <v>7.9000000000000001E-2</v>
      </c>
      <c r="S31" s="11">
        <v>8.1000000000000003E-2</v>
      </c>
      <c r="T31">
        <v>0.02</v>
      </c>
      <c r="U31">
        <f t="shared" si="0"/>
        <v>0.08</v>
      </c>
    </row>
    <row r="32" spans="1:21">
      <c r="B32" s="7" t="s">
        <v>33</v>
      </c>
      <c r="C32" s="11">
        <v>7.0000000000000007E-2</v>
      </c>
      <c r="D32" s="11">
        <v>6.7000000000000004E-2</v>
      </c>
      <c r="E32" s="16">
        <v>1.0329999999999999</v>
      </c>
      <c r="F32" s="18">
        <v>1.123</v>
      </c>
      <c r="G32" s="11">
        <v>-3.0000000000000001E-3</v>
      </c>
      <c r="H32" s="23" t="s">
        <v>30</v>
      </c>
      <c r="I32" s="23" t="s">
        <v>30</v>
      </c>
      <c r="J32" s="23">
        <v>0.94199999999999995</v>
      </c>
      <c r="K32" s="23">
        <v>0.876</v>
      </c>
      <c r="L32" s="14">
        <v>0.60699999999999998</v>
      </c>
      <c r="M32" s="14">
        <v>0.56899999999999995</v>
      </c>
      <c r="N32" s="11">
        <v>-3.0000000000000001E-3</v>
      </c>
      <c r="O32" s="12" t="s">
        <v>26</v>
      </c>
      <c r="R32" s="11">
        <v>7.0000000000000007E-2</v>
      </c>
      <c r="S32" s="11">
        <v>6.7000000000000004E-2</v>
      </c>
      <c r="T32">
        <v>0.01</v>
      </c>
      <c r="U32">
        <f t="shared" si="0"/>
        <v>6.8500000000000005E-2</v>
      </c>
    </row>
    <row r="33" spans="2:21">
      <c r="B33" s="7" t="s">
        <v>34</v>
      </c>
      <c r="C33" s="11">
        <v>0.05</v>
      </c>
      <c r="D33" s="11">
        <v>5.1999999999999998E-2</v>
      </c>
      <c r="E33" s="16">
        <v>0.90700000000000003</v>
      </c>
      <c r="F33" s="16">
        <v>0.91900000000000004</v>
      </c>
      <c r="G33" s="11">
        <v>-3.0000000000000001E-3</v>
      </c>
      <c r="H33" s="23" t="s">
        <v>30</v>
      </c>
      <c r="I33" s="23" t="s">
        <v>30</v>
      </c>
      <c r="J33" s="23">
        <v>1.573</v>
      </c>
      <c r="K33" s="23">
        <v>1.635</v>
      </c>
      <c r="L33" s="16">
        <v>0.97199999999999998</v>
      </c>
      <c r="M33" s="16">
        <v>1.0289999999999999</v>
      </c>
      <c r="N33" s="11">
        <v>-3.0000000000000001E-3</v>
      </c>
      <c r="O33" s="12" t="s">
        <v>26</v>
      </c>
      <c r="R33" s="11">
        <v>0.05</v>
      </c>
      <c r="S33" s="11">
        <v>5.1999999999999998E-2</v>
      </c>
      <c r="T33">
        <v>0</v>
      </c>
      <c r="U33">
        <f t="shared" si="0"/>
        <v>5.1000000000000004E-2</v>
      </c>
    </row>
  </sheetData>
  <phoneticPr fontId="0" type="noConversion"/>
  <pageMargins left="0.75" right="0.75" top="1" bottom="1" header="0.5" footer="0.5"/>
  <pageSetup paperSize="256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板 1 - 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biochemistry lab</cp:lastModifiedBy>
  <dcterms:created xsi:type="dcterms:W3CDTF">2011-01-18T20:51:17Z</dcterms:created>
  <dcterms:modified xsi:type="dcterms:W3CDTF">2024-11-30T08:37:42Z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12.0</vt:lpwstr>
  </property>
</Properties>
</file>