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iyuliu/Desktop/PKU-Undergraduate-Course-Public/生物化学实验(Biochemistry Lab)/开放实验/开放实验酶标仪数据/磷硫铁法/"/>
    </mc:Choice>
  </mc:AlternateContent>
  <xr:revisionPtr revIDLastSave="0" documentId="13_ncr:1_{F7E4B1CB-21BA-A94C-B565-2B446F1A53F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板 1 - Sheet1" sheetId="1" r:id="rId1"/>
  </sheets>
  <definedNames>
    <definedName name="MethodPointer1">1843556336</definedName>
    <definedName name="MethodPointer2">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41" i="1" l="1"/>
  <c r="AJ41" i="1"/>
  <c r="AK41" i="1"/>
  <c r="AL41" i="1"/>
  <c r="AM41" i="1"/>
  <c r="AN41" i="1"/>
  <c r="AO41" i="1"/>
  <c r="AH41" i="1"/>
  <c r="AI40" i="1"/>
  <c r="AJ40" i="1"/>
  <c r="AK40" i="1"/>
  <c r="AL40" i="1"/>
  <c r="AM40" i="1"/>
  <c r="AN40" i="1"/>
  <c r="AO40" i="1"/>
  <c r="AH40" i="1"/>
  <c r="P38" i="1" a="1"/>
  <c r="P38" i="1" s="1"/>
  <c r="V18" i="1"/>
  <c r="V20" i="1"/>
  <c r="V21" i="1"/>
  <c r="V22" i="1"/>
  <c r="V24" i="1"/>
  <c r="V25" i="1"/>
  <c r="V26" i="1"/>
  <c r="V27" i="1"/>
  <c r="V28" i="1"/>
  <c r="V29" i="1"/>
  <c r="V30" i="1"/>
  <c r="V31" i="1"/>
  <c r="V32" i="1"/>
  <c r="V33" i="1"/>
  <c r="U24" i="1"/>
  <c r="U20" i="1"/>
  <c r="U21" i="1"/>
  <c r="U22" i="1"/>
  <c r="U25" i="1"/>
  <c r="U26" i="1"/>
  <c r="U27" i="1"/>
  <c r="U28" i="1"/>
  <c r="U29" i="1"/>
  <c r="U30" i="1"/>
  <c r="U31" i="1"/>
  <c r="U32" i="1"/>
  <c r="U33" i="1"/>
  <c r="U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<sst xmlns="http://schemas.openxmlformats.org/spreadsheetml/2006/main" count="61" uniqueCount="35">
  <si>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</si>
  <si>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</si>
  <si>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</si>
  <si>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周五三组正式实验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-7-1.xpt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</si>
  <si>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</si>
  <si>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</si>
  <si>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</si>
  <si>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</si>
  <si>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</si>
  <si>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</si>
  <si>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</si>
  <si>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</si>
  <si>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</si>
  <si>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</si>
  <si>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</si>
  <si>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</si>
  <si>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</si>
  <si>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</si>
  <si>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</si>
  <si>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</si>
  <si>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</si>
  <si>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</si>
  <si>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</si>
  <si>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</si>
  <si>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</si>
  <si>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</si>
  <si>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560:560</t>
  </si>
  <si>
    <t>B</t>
  </si>
  <si>
    <t>C</t>
  </si>
  <si>
    <t>D</t>
  </si>
  <si>
    <t>OVRFLW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</si>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</sst>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611483288292247E-2"/>
          <c:y val="2.2446339717108448E-2"/>
          <c:w val="0.88621663360834924"/>
          <c:h val="0.8602112286105759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N"/>
                </a:p>
              </c:txPr>
            </c:trendlineLbl>
          </c:trendline>
          <c:xVal>
            <c:numRef>
              <c:f>'板 1 - Sheet1'!$T$20:$T$28</c:f>
              <c:numCache>
                <c:formatCode>General</c:formatCode>
                <c:ptCount val="9"/>
                <c:pt idx="0">
                  <c:v>0.13</c:v>
                </c:pt>
                <c:pt idx="1">
                  <c:v>0.11</c:v>
                </c:pt>
                <c:pt idx="2">
                  <c:v>0.09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0.04</c:v>
                </c:pt>
                <c:pt idx="7">
                  <c:v>0.02</c:v>
                </c:pt>
                <c:pt idx="8">
                  <c:v>0.01</c:v>
                </c:pt>
              </c:numCache>
            </c:numRef>
          </c:xVal>
          <c:yVal>
            <c:numRef>
              <c:f>'板 1 - Sheet1'!$V$20:$V$28</c:f>
              <c:numCache>
                <c:formatCode>General</c:formatCode>
                <c:ptCount val="9"/>
                <c:pt idx="0">
                  <c:v>1.7620000000000002</c:v>
                </c:pt>
                <c:pt idx="1">
                  <c:v>1.4920000000000002</c:v>
                </c:pt>
                <c:pt idx="2">
                  <c:v>1.2489999999999999</c:v>
                </c:pt>
                <c:pt idx="4">
                  <c:v>1.0269999999999999</c:v>
                </c:pt>
                <c:pt idx="5">
                  <c:v>0.86199999999999999</c:v>
                </c:pt>
                <c:pt idx="6">
                  <c:v>0.65749999999999986</c:v>
                </c:pt>
                <c:pt idx="7">
                  <c:v>0.3785</c:v>
                </c:pt>
                <c:pt idx="8">
                  <c:v>0.23249999999999998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2-CA4D-B2E7-8F03CB266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75264"/>
        <c:axId val="56873728"/>
      </c:scatterChart>
      <c:valAx>
        <c:axId val="5687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胆固醇净含量(</a:t>
                </a:r>
                <a:r>
                  <a:rPr lang="el-GR"/>
                  <a:t>μ</a:t>
                </a:r>
                <a:r>
                  <a:rPr lang="en-US"/>
                  <a:t>mol)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6873728"/>
        <c:crosses val="autoZero"/>
        <c:crossBetween val="midCat"/>
      </c:valAx>
      <c:valAx>
        <c:axId val="56873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Α5</a:t>
                </a:r>
                <a:r>
                  <a:rPr lang="en-US"/>
                  <a:t>50nm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5687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152401</xdr:colOff>
      <xdr:row>3</xdr:row>
      <xdr:rowOff>79375</xdr:rowOff>
    </xdr:from>
    <xdr:to>
      <xdr:col>16</xdr:col>
      <xdr:colOff>457200</xdr:colOff>
      <xdr:row>20</xdr:row>
      <xdr:rowOff>35983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O49"/>
  <sheetViews>
    <sheetView tabSelected="1" topLeftCell="G1" zoomScale="75" workbookViewId="0">
      <selection activeCell="S14" sqref="S14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1:2" ht="14">
      <c r="A2" s="1" t="s">
        <v>0</v>
      </c>
      <c r="B2" t="s">
        <v>1</v>
      </c>
    </row>
    <row r="4" spans="1:2" ht="14">
      <c r="A4" s="1" t="s">
        <v>2</v>
      </c>
      <c r="B4" t="s">
        <v>3</v>
      </c>
    </row>
    <row r="5" spans="1:2" ht="14">
      <c r="A5" s="1" t="s">
        <v>4</v>
      </c>
    </row>
    <row r="6" spans="1:2" ht="14">
      <c r="A6" s="1" t="s">
        <v>5</v>
      </c>
      <c r="B6" s="1" t="s">
        <v>6</v>
      </c>
    </row>
    <row r="7" spans="1:2" ht="14">
      <c r="A7" s="1" t="s">
        <v>7</v>
      </c>
      <c r="B7" s="2">
        <v>45626</v>
      </c>
    </row>
    <row r="8" spans="1:2" ht="14">
      <c r="A8" s="1" t="s">
        <v>8</v>
      </c>
      <c r="B8" s="3">
        <v>0.68523148148148139</v>
      </c>
    </row>
    <row r="9" spans="1:2" ht="14">
      <c r="A9" s="1" t="s">
        <v>9</v>
      </c>
      <c r="B9" t="s">
        <v>10</v>
      </c>
    </row>
    <row r="10" spans="1:2" ht="14">
      <c r="A10" s="1" t="s">
        <v>11</v>
      </c>
      <c r="B10">
        <v>19012425</v>
      </c>
    </row>
    <row r="11" spans="1:2" ht="14">
      <c r="A11" s="1" t="s">
        <v>12</v>
      </c>
      <c r="B11" s="1" t="s">
        <v>13</v>
      </c>
    </row>
    <row r="13" spans="1:2" ht="14">
      <c r="A13" s="4" t="s">
        <v>14</v>
      </c>
      <c r="B13" s="5"/>
    </row>
    <row r="14" spans="1:2" ht="14">
      <c r="A14" s="1" t="s">
        <v>15</v>
      </c>
      <c r="B14" t="s">
        <v>16</v>
      </c>
    </row>
    <row r="15" spans="1:2" ht="14">
      <c r="A15" s="1" t="s">
        <v>17</v>
      </c>
    </row>
    <row r="16" spans="1:2" ht="14">
      <c r="A16" s="1" t="s">
        <v>18</v>
      </c>
      <c r="B16">
        <v>560</v>
      </c>
    </row>
    <row r="17" spans="1:22" ht="14">
      <c r="B17" s="1" t="s">
        <v>19</v>
      </c>
    </row>
    <row r="18" spans="1:22" ht="14">
      <c r="B18" s="1" t="s">
        <v>20</v>
      </c>
      <c r="R18" s="9">
        <v>1.9750000000000001</v>
      </c>
      <c r="S18" s="10">
        <v>2.6</v>
      </c>
      <c r="T18">
        <v>1.6</v>
      </c>
      <c r="U18">
        <f>(R18+S18)/2</f>
        <v>2.2875000000000001</v>
      </c>
      <c r="V18">
        <f t="shared" ref="V18:V32" si="0">U18-0.051</f>
        <v>2.2364999999999999</v>
      </c>
    </row>
    <row r="19" spans="1:22" ht="14">
      <c r="B19" s="1" t="s">
        <v>21</v>
      </c>
      <c r="R19" s="15">
        <v>1.7949999999999999</v>
      </c>
      <c r="S19" s="9">
        <v>1.962</v>
      </c>
    </row>
    <row r="20" spans="1:22" ht="14">
      <c r="B20" s="1" t="s">
        <v>22</v>
      </c>
      <c r="R20" s="17">
        <v>1.5429999999999999</v>
      </c>
      <c r="S20" s="9">
        <v>2.0830000000000002</v>
      </c>
      <c r="T20">
        <v>0.13</v>
      </c>
      <c r="U20">
        <f t="shared" ref="U20:U33" si="1">(R20+S20)/2</f>
        <v>1.8130000000000002</v>
      </c>
      <c r="V20">
        <f t="shared" si="0"/>
        <v>1.7620000000000002</v>
      </c>
    </row>
    <row r="21" spans="1:22">
      <c r="R21" s="17">
        <v>1.6120000000000001</v>
      </c>
      <c r="S21" s="20">
        <v>1.474</v>
      </c>
      <c r="T21">
        <v>0.11</v>
      </c>
      <c r="U21">
        <f t="shared" si="1"/>
        <v>1.5430000000000001</v>
      </c>
      <c r="V21">
        <f t="shared" si="0"/>
        <v>1.4920000000000002</v>
      </c>
    </row>
    <row r="22" spans="1:22" ht="14">
      <c r="A22" s="4" t="s">
        <v>23</v>
      </c>
      <c r="B22" s="5"/>
      <c r="R22" s="20">
        <v>1.3859999999999999</v>
      </c>
      <c r="S22" s="18">
        <v>1.214</v>
      </c>
      <c r="T22">
        <v>0.09</v>
      </c>
      <c r="U22">
        <f t="shared" si="1"/>
        <v>1.2999999999999998</v>
      </c>
      <c r="V22">
        <f t="shared" si="0"/>
        <v>1.2489999999999999</v>
      </c>
    </row>
    <row r="23" spans="1:22" ht="14">
      <c r="A23" s="1" t="s">
        <v>24</v>
      </c>
      <c r="B23">
        <v>24.6</v>
      </c>
      <c r="R23" s="18">
        <v>1.2410000000000001</v>
      </c>
      <c r="S23" s="20">
        <v>1.2889999999999999</v>
      </c>
      <c r="T23">
        <v>0.08</v>
      </c>
    </row>
    <row r="24" spans="1:22">
      <c r="R24" s="16">
        <v>1.0329999999999999</v>
      </c>
      <c r="S24" s="18">
        <v>1.123</v>
      </c>
      <c r="T24">
        <v>7.0000000000000007E-2</v>
      </c>
      <c r="U24">
        <f t="shared" si="1"/>
        <v>1.0779999999999998</v>
      </c>
      <c r="V24">
        <f t="shared" si="0"/>
        <v>1.0269999999999999</v>
      </c>
    </row>
    <row r="25" spans="1:22">
      <c r="B25" s="6"/>
      <c r="C25" s="7">
        <v>1</v>
      </c>
      <c r="D25" s="7">
        <v>2</v>
      </c>
      <c r="E25" s="7">
        <v>3</v>
      </c>
      <c r="F25" s="7">
        <v>4</v>
      </c>
      <c r="G25" s="7">
        <v>5</v>
      </c>
      <c r="H25" s="7">
        <v>6</v>
      </c>
      <c r="I25" s="7">
        <v>7</v>
      </c>
      <c r="J25" s="7">
        <v>8</v>
      </c>
      <c r="K25" s="7">
        <v>9</v>
      </c>
      <c r="L25" s="7">
        <v>10</v>
      </c>
      <c r="M25" s="7">
        <v>11</v>
      </c>
      <c r="N25" s="7">
        <v>12</v>
      </c>
      <c r="R25" s="16">
        <v>0.90700000000000003</v>
      </c>
      <c r="S25" s="16">
        <v>0.91900000000000004</v>
      </c>
      <c r="T25">
        <v>0.06</v>
      </c>
      <c r="U25">
        <f t="shared" si="1"/>
        <v>0.91300000000000003</v>
      </c>
      <c r="V25">
        <f t="shared" si="0"/>
        <v>0.86199999999999999</v>
      </c>
    </row>
    <row r="26" spans="1:22" ht="14">
      <c r="B26" s="7" t="s">
        <v>25</v>
      </c>
      <c r="C26" s="8">
        <v>0.72499999999999998</v>
      </c>
      <c r="D26" s="8">
        <v>0.69199999999999995</v>
      </c>
      <c r="E26" s="9">
        <v>1.9750000000000001</v>
      </c>
      <c r="F26" s="10">
        <v>2.6</v>
      </c>
      <c r="G26" s="11">
        <v>-3.0000000000000001E-3</v>
      </c>
      <c r="H26" s="11">
        <v>4.2999999999999997E-2</v>
      </c>
      <c r="I26" s="11">
        <v>4.2999999999999997E-2</v>
      </c>
      <c r="J26" s="11">
        <v>4.3999999999999997E-2</v>
      </c>
      <c r="K26" s="11">
        <v>4.2999999999999997E-2</v>
      </c>
      <c r="L26" s="11">
        <v>4.3999999999999997E-2</v>
      </c>
      <c r="M26" s="11">
        <v>4.3999999999999997E-2</v>
      </c>
      <c r="N26" s="11">
        <v>-3.0000000000000001E-3</v>
      </c>
      <c r="O26" s="12" t="s">
        <v>26</v>
      </c>
      <c r="R26" s="8">
        <v>0.72499999999999998</v>
      </c>
      <c r="S26" s="8">
        <v>0.69199999999999995</v>
      </c>
      <c r="T26">
        <v>0.04</v>
      </c>
      <c r="U26">
        <f t="shared" si="1"/>
        <v>0.70849999999999991</v>
      </c>
      <c r="V26">
        <f t="shared" si="0"/>
        <v>0.65749999999999986</v>
      </c>
    </row>
    <row r="27" spans="1:22" ht="14">
      <c r="B27" s="7" t="s">
        <v>27</v>
      </c>
      <c r="C27" s="13">
        <v>0.41399999999999998</v>
      </c>
      <c r="D27" s="14">
        <v>0.44500000000000001</v>
      </c>
      <c r="E27" s="15">
        <v>1.7949999999999999</v>
      </c>
      <c r="F27" s="9">
        <v>1.962</v>
      </c>
      <c r="G27" s="11">
        <v>-3.0000000000000001E-3</v>
      </c>
      <c r="H27" s="23">
        <v>0.46300000000000002</v>
      </c>
      <c r="I27" s="23">
        <v>0.50800000000000001</v>
      </c>
      <c r="J27" s="8">
        <v>0.67300000000000004</v>
      </c>
      <c r="K27" s="8">
        <v>0.70699999999999996</v>
      </c>
      <c r="L27" s="16">
        <v>0.99099999999999999</v>
      </c>
      <c r="M27" s="16">
        <v>0.98299999999999998</v>
      </c>
      <c r="N27" s="11">
        <v>-3.0000000000000001E-3</v>
      </c>
      <c r="O27" s="12" t="s">
        <v>26</v>
      </c>
      <c r="R27" s="13">
        <v>0.41399999999999998</v>
      </c>
      <c r="S27" s="14">
        <v>0.44500000000000001</v>
      </c>
      <c r="T27">
        <v>0.02</v>
      </c>
      <c r="U27">
        <f t="shared" si="1"/>
        <v>0.42949999999999999</v>
      </c>
      <c r="V27">
        <f t="shared" si="0"/>
        <v>0.3785</v>
      </c>
    </row>
    <row r="28" spans="1:22" ht="14">
      <c r="B28" s="7" t="s">
        <v>28</v>
      </c>
      <c r="C28" s="13">
        <v>0.27100000000000002</v>
      </c>
      <c r="D28" s="13">
        <v>0.29599999999999999</v>
      </c>
      <c r="E28" s="17">
        <v>1.5429999999999999</v>
      </c>
      <c r="F28" s="9">
        <v>2.0830000000000002</v>
      </c>
      <c r="G28" s="11">
        <v>-3.0000000000000001E-3</v>
      </c>
      <c r="H28" s="23">
        <v>1.26</v>
      </c>
      <c r="I28" s="23">
        <v>1.1919999999999999</v>
      </c>
      <c r="J28" s="17">
        <v>1.5149999999999999</v>
      </c>
      <c r="K28" s="17">
        <v>1.544</v>
      </c>
      <c r="L28" s="19">
        <v>2.198</v>
      </c>
      <c r="M28" s="19">
        <v>2.1850000000000001</v>
      </c>
      <c r="N28" s="11">
        <v>-3.0000000000000001E-3</v>
      </c>
      <c r="O28" s="12" t="s">
        <v>26</v>
      </c>
      <c r="R28" s="13">
        <v>0.27100000000000002</v>
      </c>
      <c r="S28" s="13">
        <v>0.29599999999999999</v>
      </c>
      <c r="T28">
        <v>0.01</v>
      </c>
      <c r="U28">
        <f t="shared" si="1"/>
        <v>0.28349999999999997</v>
      </c>
      <c r="V28">
        <f t="shared" si="0"/>
        <v>0.23249999999999998</v>
      </c>
    </row>
    <row r="29" spans="1:22" ht="14">
      <c r="B29" s="7" t="s">
        <v>29</v>
      </c>
      <c r="C29" s="11">
        <v>0.16900000000000001</v>
      </c>
      <c r="D29" s="11">
        <v>0.185</v>
      </c>
      <c r="E29" s="17">
        <v>1.6120000000000001</v>
      </c>
      <c r="F29" s="20">
        <v>1.474</v>
      </c>
      <c r="G29" s="11">
        <v>-3.0000000000000001E-3</v>
      </c>
      <c r="H29" s="23">
        <v>2.1859999999999999</v>
      </c>
      <c r="I29" s="23">
        <v>2.4870000000000001</v>
      </c>
      <c r="J29" s="21">
        <v>2.8759999999999999</v>
      </c>
      <c r="K29" s="21">
        <v>3.0030000000000001</v>
      </c>
      <c r="L29" s="22" t="s">
        <v>30</v>
      </c>
      <c r="M29" s="22" t="s">
        <v>30</v>
      </c>
      <c r="N29" s="11">
        <v>-3.0000000000000001E-3</v>
      </c>
      <c r="O29" s="12" t="s">
        <v>26</v>
      </c>
      <c r="R29" s="11">
        <v>0.16900000000000001</v>
      </c>
      <c r="S29" s="11">
        <v>0.185</v>
      </c>
      <c r="T29">
        <v>8.0000000000000002E-3</v>
      </c>
      <c r="U29">
        <f t="shared" si="1"/>
        <v>0.17699999999999999</v>
      </c>
      <c r="V29">
        <f t="shared" si="0"/>
        <v>0.126</v>
      </c>
    </row>
    <row r="30" spans="1:22" ht="14">
      <c r="B30" s="7" t="s">
        <v>31</v>
      </c>
      <c r="C30" s="11">
        <v>0.112</v>
      </c>
      <c r="D30" s="11">
        <v>0.11600000000000001</v>
      </c>
      <c r="E30" s="20">
        <v>1.3859999999999999</v>
      </c>
      <c r="F30" s="18">
        <v>1.214</v>
      </c>
      <c r="G30" s="11">
        <v>-3.0000000000000001E-3</v>
      </c>
      <c r="H30" s="11">
        <v>4.2999999999999997E-2</v>
      </c>
      <c r="I30" s="11">
        <v>4.5999999999999999E-2</v>
      </c>
      <c r="J30" s="11">
        <v>5.1999999999999998E-2</v>
      </c>
      <c r="K30" s="11">
        <v>4.3999999999999997E-2</v>
      </c>
      <c r="L30" s="11">
        <v>4.3999999999999997E-2</v>
      </c>
      <c r="M30" s="11">
        <v>4.2999999999999997E-2</v>
      </c>
      <c r="N30" s="11">
        <v>-3.0000000000000001E-3</v>
      </c>
      <c r="O30" s="12" t="s">
        <v>26</v>
      </c>
      <c r="R30" s="11">
        <v>0.112</v>
      </c>
      <c r="S30" s="11">
        <v>0.11600000000000001</v>
      </c>
      <c r="T30">
        <v>4.0000000000000001E-3</v>
      </c>
      <c r="U30">
        <f t="shared" si="1"/>
        <v>0.114</v>
      </c>
      <c r="V30">
        <f t="shared" si="0"/>
        <v>6.3E-2</v>
      </c>
    </row>
    <row r="31" spans="1:22" ht="14">
      <c r="B31" s="7" t="s">
        <v>32</v>
      </c>
      <c r="C31" s="11">
        <v>7.9000000000000001E-2</v>
      </c>
      <c r="D31" s="11">
        <v>8.1000000000000003E-2</v>
      </c>
      <c r="E31" s="18">
        <v>1.2410000000000001</v>
      </c>
      <c r="F31" s="20">
        <v>1.2889999999999999</v>
      </c>
      <c r="G31" s="11">
        <v>-3.0000000000000001E-3</v>
      </c>
      <c r="H31" s="23">
        <v>2.3540000000000001</v>
      </c>
      <c r="I31" s="23">
        <v>1.998</v>
      </c>
      <c r="J31" s="23">
        <v>0.41899999999999998</v>
      </c>
      <c r="K31" s="23">
        <v>0.39400000000000002</v>
      </c>
      <c r="L31" s="13">
        <v>0.255</v>
      </c>
      <c r="M31" s="13">
        <v>0.26400000000000001</v>
      </c>
      <c r="N31" s="11">
        <v>-3.0000000000000001E-3</v>
      </c>
      <c r="O31" s="12" t="s">
        <v>26</v>
      </c>
      <c r="R31" s="11">
        <v>7.9000000000000001E-2</v>
      </c>
      <c r="S31" s="11">
        <v>8.1000000000000003E-2</v>
      </c>
      <c r="T31">
        <v>2E-3</v>
      </c>
      <c r="U31">
        <f t="shared" si="1"/>
        <v>0.08</v>
      </c>
      <c r="V31">
        <f t="shared" si="0"/>
        <v>2.9000000000000005E-2</v>
      </c>
    </row>
    <row r="32" spans="1:22" ht="14">
      <c r="B32" s="7" t="s">
        <v>33</v>
      </c>
      <c r="C32" s="11">
        <v>7.0000000000000007E-2</v>
      </c>
      <c r="D32" s="11">
        <v>6.7000000000000004E-2</v>
      </c>
      <c r="E32" s="16">
        <v>1.0329999999999999</v>
      </c>
      <c r="F32" s="18">
        <v>1.123</v>
      </c>
      <c r="G32" s="11">
        <v>-3.0000000000000001E-3</v>
      </c>
      <c r="H32" s="23" t="s">
        <v>30</v>
      </c>
      <c r="I32" s="23" t="s">
        <v>30</v>
      </c>
      <c r="J32" s="23">
        <v>0.94199999999999995</v>
      </c>
      <c r="K32" s="23">
        <v>0.876</v>
      </c>
      <c r="L32" s="14">
        <v>0.60699999999999998</v>
      </c>
      <c r="M32" s="14">
        <v>0.56899999999999995</v>
      </c>
      <c r="N32" s="11">
        <v>-3.0000000000000001E-3</v>
      </c>
      <c r="O32" s="12" t="s">
        <v>26</v>
      </c>
      <c r="R32" s="11">
        <v>7.0000000000000007E-2</v>
      </c>
      <c r="S32" s="11">
        <v>6.7000000000000004E-2</v>
      </c>
      <c r="T32">
        <v>1E-3</v>
      </c>
      <c r="U32">
        <f t="shared" si="1"/>
        <v>6.8500000000000005E-2</v>
      </c>
      <c r="V32">
        <f t="shared" si="0"/>
        <v>1.7500000000000009E-2</v>
      </c>
    </row>
    <row r="33" spans="2:41" ht="14">
      <c r="B33" s="7" t="s">
        <v>34</v>
      </c>
      <c r="C33" s="11">
        <v>0.05</v>
      </c>
      <c r="D33" s="11">
        <v>5.1999999999999998E-2</v>
      </c>
      <c r="E33" s="16">
        <v>0.90700000000000003</v>
      </c>
      <c r="F33" s="16">
        <v>0.91900000000000004</v>
      </c>
      <c r="G33" s="11">
        <v>-3.0000000000000001E-3</v>
      </c>
      <c r="H33" s="23" t="s">
        <v>30</v>
      </c>
      <c r="I33" s="23" t="s">
        <v>30</v>
      </c>
      <c r="J33" s="23">
        <v>1.573</v>
      </c>
      <c r="K33" s="23">
        <v>1.635</v>
      </c>
      <c r="L33" s="16">
        <v>0.97199999999999998</v>
      </c>
      <c r="M33" s="16">
        <v>1.0289999999999999</v>
      </c>
      <c r="N33" s="11">
        <v>-3.0000000000000001E-3</v>
      </c>
      <c r="O33" s="12" t="s">
        <v>26</v>
      </c>
      <c r="R33" s="11">
        <v>0.05</v>
      </c>
      <c r="S33" s="11">
        <v>5.1999999999999998E-2</v>
      </c>
      <c r="T33">
        <v>0</v>
      </c>
      <c r="U33">
        <f t="shared" si="1"/>
        <v>5.1000000000000004E-2</v>
      </c>
      <c r="V33">
        <f>U33-0.051</f>
        <v>0</v>
      </c>
    </row>
    <row r="35" spans="2:41">
      <c r="H35" s="23">
        <v>0.41899999999999998</v>
      </c>
      <c r="I35" s="23">
        <v>0.39400000000000002</v>
      </c>
      <c r="K35" s="16">
        <v>0.99099999999999999</v>
      </c>
      <c r="L35" s="16">
        <v>0.98299999999999998</v>
      </c>
    </row>
    <row r="36" spans="2:41">
      <c r="H36" s="23">
        <v>0.94199999999999995</v>
      </c>
      <c r="I36" s="23">
        <v>0.876</v>
      </c>
      <c r="K36" s="19">
        <v>2.198</v>
      </c>
      <c r="L36" s="19">
        <v>2.1850000000000001</v>
      </c>
    </row>
    <row r="37" spans="2:41" ht="14">
      <c r="H37" s="23">
        <v>1.573</v>
      </c>
      <c r="I37" s="23">
        <v>1.635</v>
      </c>
      <c r="K37" s="22" t="s">
        <v>30</v>
      </c>
      <c r="L37" s="22" t="s">
        <v>30</v>
      </c>
      <c r="Y37">
        <v>8</v>
      </c>
      <c r="Z37">
        <v>7</v>
      </c>
      <c r="AA37">
        <v>6</v>
      </c>
      <c r="AB37">
        <v>5</v>
      </c>
      <c r="AC37">
        <v>4</v>
      </c>
      <c r="AD37">
        <v>3</v>
      </c>
      <c r="AE37">
        <v>2</v>
      </c>
      <c r="AF37">
        <v>1</v>
      </c>
    </row>
    <row r="38" spans="2:41">
      <c r="P38" cm="1">
        <f t="array" ref="P38:W49">TRANSPOSE(C26:N33)</f>
        <v>0.72499999999999998</v>
      </c>
      <c r="Q38">
        <v>0.41399999999999998</v>
      </c>
      <c r="R38">
        <v>0.27100000000000002</v>
      </c>
      <c r="S38">
        <v>0.16900000000000001</v>
      </c>
      <c r="T38">
        <v>0.112</v>
      </c>
      <c r="U38">
        <v>7.9000000000000001E-2</v>
      </c>
      <c r="V38">
        <v>7.0000000000000007E-2</v>
      </c>
      <c r="W38">
        <v>0.05</v>
      </c>
      <c r="Y38">
        <v>0.05</v>
      </c>
      <c r="Z38">
        <v>7.0000000000000007E-2</v>
      </c>
      <c r="AA38">
        <v>7.9000000000000001E-2</v>
      </c>
      <c r="AB38">
        <v>0.112</v>
      </c>
      <c r="AC38">
        <v>0.16900000000000001</v>
      </c>
      <c r="AD38">
        <v>0.27100000000000002</v>
      </c>
      <c r="AE38">
        <v>0.41399999999999998</v>
      </c>
      <c r="AF38">
        <v>0.72499999999999998</v>
      </c>
      <c r="AH38">
        <v>0.97199999999999998</v>
      </c>
      <c r="AI38">
        <v>0.60699999999999998</v>
      </c>
      <c r="AJ38">
        <v>0.255</v>
      </c>
      <c r="AK38">
        <v>4.3999999999999997E-2</v>
      </c>
      <c r="AL38" t="s">
        <v>30</v>
      </c>
      <c r="AM38">
        <v>2.198</v>
      </c>
      <c r="AN38">
        <v>0.99099999999999999</v>
      </c>
      <c r="AO38">
        <v>4.3999999999999997E-2</v>
      </c>
    </row>
    <row r="39" spans="2:41">
      <c r="P39">
        <v>0.69199999999999995</v>
      </c>
      <c r="Q39">
        <v>0.44500000000000001</v>
      </c>
      <c r="R39">
        <v>0.29599999999999999</v>
      </c>
      <c r="S39">
        <v>0.185</v>
      </c>
      <c r="T39">
        <v>0.11600000000000001</v>
      </c>
      <c r="U39">
        <v>8.1000000000000003E-2</v>
      </c>
      <c r="V39">
        <v>6.7000000000000004E-2</v>
      </c>
      <c r="W39">
        <v>5.1999999999999998E-2</v>
      </c>
      <c r="Y39">
        <v>5.1999999999999998E-2</v>
      </c>
      <c r="Z39">
        <v>6.7000000000000004E-2</v>
      </c>
      <c r="AA39">
        <v>8.1000000000000003E-2</v>
      </c>
      <c r="AB39">
        <v>0.11600000000000001</v>
      </c>
      <c r="AC39">
        <v>0.185</v>
      </c>
      <c r="AD39">
        <v>0.29599999999999999</v>
      </c>
      <c r="AE39">
        <v>0.44500000000000001</v>
      </c>
      <c r="AF39">
        <v>0.69199999999999995</v>
      </c>
      <c r="AH39">
        <v>1.0289999999999999</v>
      </c>
      <c r="AI39">
        <v>0.56899999999999995</v>
      </c>
      <c r="AJ39">
        <v>0.26400000000000001</v>
      </c>
      <c r="AK39">
        <v>4.2999999999999997E-2</v>
      </c>
      <c r="AL39" t="s">
        <v>30</v>
      </c>
      <c r="AM39">
        <v>2.1850000000000001</v>
      </c>
      <c r="AN39">
        <v>0.98299999999999998</v>
      </c>
      <c r="AO39">
        <v>4.3999999999999997E-2</v>
      </c>
    </row>
    <row r="40" spans="2:41">
      <c r="P40">
        <v>1.9750000000000001</v>
      </c>
      <c r="Q40">
        <v>1.7949999999999999</v>
      </c>
      <c r="R40">
        <v>1.5429999999999999</v>
      </c>
      <c r="S40">
        <v>1.6120000000000001</v>
      </c>
      <c r="T40">
        <v>1.3859999999999999</v>
      </c>
      <c r="U40">
        <v>1.2410000000000001</v>
      </c>
      <c r="V40">
        <v>1.0329999999999999</v>
      </c>
      <c r="W40">
        <v>0.90700000000000003</v>
      </c>
      <c r="Y40">
        <v>0.90700000000000003</v>
      </c>
      <c r="Z40">
        <v>1.0329999999999999</v>
      </c>
      <c r="AA40">
        <v>1.2410000000000001</v>
      </c>
      <c r="AB40">
        <v>1.3859999999999999</v>
      </c>
      <c r="AC40">
        <v>1.6120000000000001</v>
      </c>
      <c r="AD40">
        <v>1.5429999999999999</v>
      </c>
      <c r="AE40">
        <v>1.7949999999999999</v>
      </c>
      <c r="AF40">
        <v>1.9750000000000001</v>
      </c>
      <c r="AH40">
        <f>(AH38+AH39)/2</f>
        <v>1.0004999999999999</v>
      </c>
      <c r="AI40">
        <f t="shared" ref="AI40:AO40" si="2">(AI38+AI39)/2</f>
        <v>0.58799999999999997</v>
      </c>
      <c r="AJ40">
        <f t="shared" si="2"/>
        <v>0.25950000000000001</v>
      </c>
      <c r="AK40">
        <f t="shared" si="2"/>
        <v>4.3499999999999997E-2</v>
      </c>
      <c r="AL40" t="e">
        <f t="shared" si="2"/>
        <v>#VALUE!</v>
      </c>
      <c r="AM40">
        <f t="shared" si="2"/>
        <v>2.1915</v>
      </c>
      <c r="AN40">
        <f t="shared" si="2"/>
        <v>0.98699999999999999</v>
      </c>
      <c r="AO40">
        <f t="shared" si="2"/>
        <v>4.3999999999999997E-2</v>
      </c>
    </row>
    <row r="41" spans="2:41">
      <c r="H41" s="23">
        <v>0.46300000000000002</v>
      </c>
      <c r="I41" s="23">
        <v>0.50800000000000001</v>
      </c>
      <c r="K41" s="13">
        <v>0.255</v>
      </c>
      <c r="L41" s="13">
        <v>0.26400000000000001</v>
      </c>
      <c r="P41">
        <v>2.6</v>
      </c>
      <c r="Q41">
        <v>1.962</v>
      </c>
      <c r="R41">
        <v>2.0830000000000002</v>
      </c>
      <c r="S41">
        <v>1.474</v>
      </c>
      <c r="T41">
        <v>1.214</v>
      </c>
      <c r="U41">
        <v>1.2889999999999999</v>
      </c>
      <c r="V41">
        <v>1.123</v>
      </c>
      <c r="W41">
        <v>0.91900000000000004</v>
      </c>
      <c r="Y41">
        <v>0.91900000000000004</v>
      </c>
      <c r="Z41">
        <v>1.123</v>
      </c>
      <c r="AA41">
        <v>1.2889999999999999</v>
      </c>
      <c r="AB41">
        <v>1.214</v>
      </c>
      <c r="AC41">
        <v>1.474</v>
      </c>
      <c r="AD41">
        <v>2.0830000000000002</v>
      </c>
      <c r="AE41">
        <v>1.962</v>
      </c>
      <c r="AF41">
        <v>2.6</v>
      </c>
      <c r="AH41">
        <f>ABS(AH38-AH39)</f>
        <v>5.699999999999994E-2</v>
      </c>
      <c r="AI41">
        <f t="shared" ref="AI41:AO41" si="3">ABS(AI38-AI39)</f>
        <v>3.8000000000000034E-2</v>
      </c>
      <c r="AJ41">
        <f t="shared" si="3"/>
        <v>9.000000000000008E-3</v>
      </c>
      <c r="AK41">
        <f t="shared" si="3"/>
        <v>1.0000000000000009E-3</v>
      </c>
      <c r="AL41" t="e">
        <f t="shared" si="3"/>
        <v>#VALUE!</v>
      </c>
      <c r="AM41">
        <f t="shared" si="3"/>
        <v>1.2999999999999901E-2</v>
      </c>
      <c r="AN41">
        <f t="shared" si="3"/>
        <v>8.0000000000000071E-3</v>
      </c>
      <c r="AO41">
        <f t="shared" si="3"/>
        <v>0</v>
      </c>
    </row>
    <row r="42" spans="2:41">
      <c r="H42" s="23">
        <v>1.26</v>
      </c>
      <c r="I42" s="23">
        <v>1.1919999999999999</v>
      </c>
      <c r="K42" s="14">
        <v>0.60699999999999998</v>
      </c>
      <c r="L42" s="14">
        <v>0.56899999999999995</v>
      </c>
      <c r="P42">
        <v>-3.0000000000000001E-3</v>
      </c>
      <c r="Q42">
        <v>-3.0000000000000001E-3</v>
      </c>
      <c r="R42">
        <v>-3.0000000000000001E-3</v>
      </c>
      <c r="S42">
        <v>-3.0000000000000001E-3</v>
      </c>
      <c r="T42">
        <v>-3.0000000000000001E-3</v>
      </c>
      <c r="U42">
        <v>-3.0000000000000001E-3</v>
      </c>
      <c r="V42">
        <v>-3.0000000000000001E-3</v>
      </c>
      <c r="W42">
        <v>-3.0000000000000001E-3</v>
      </c>
      <c r="Y42">
        <v>-3.0000000000000001E-3</v>
      </c>
      <c r="Z42">
        <v>-3.0000000000000001E-3</v>
      </c>
      <c r="AA42">
        <v>-3.0000000000000001E-3</v>
      </c>
      <c r="AB42">
        <v>-3.0000000000000001E-3</v>
      </c>
      <c r="AC42">
        <v>-3.0000000000000001E-3</v>
      </c>
      <c r="AD42">
        <v>-3.0000000000000001E-3</v>
      </c>
      <c r="AE42">
        <v>-3.0000000000000001E-3</v>
      </c>
      <c r="AF42">
        <v>-3.0000000000000001E-3</v>
      </c>
    </row>
    <row r="43" spans="2:41">
      <c r="H43" s="23">
        <v>2.1859999999999999</v>
      </c>
      <c r="I43" s="23">
        <v>2.4870000000000001</v>
      </c>
      <c r="K43" s="16">
        <v>0.97199999999999998</v>
      </c>
      <c r="L43" s="16">
        <v>1.0289999999999999</v>
      </c>
      <c r="P43">
        <v>4.2999999999999997E-2</v>
      </c>
      <c r="Q43">
        <v>0.46300000000000002</v>
      </c>
      <c r="R43">
        <v>1.26</v>
      </c>
      <c r="S43">
        <v>2.1859999999999999</v>
      </c>
      <c r="T43">
        <v>4.2999999999999997E-2</v>
      </c>
      <c r="U43">
        <v>2.3540000000000001</v>
      </c>
      <c r="V43" t="str">
        <v>OVRFLW</v>
      </c>
      <c r="W43" t="str">
        <v>OVRFLW</v>
      </c>
      <c r="Y43" t="s">
        <v>30</v>
      </c>
      <c r="Z43" t="s">
        <v>30</v>
      </c>
      <c r="AA43">
        <v>2.3540000000000001</v>
      </c>
      <c r="AB43">
        <v>4.2999999999999997E-2</v>
      </c>
      <c r="AC43">
        <v>2.1859999999999999</v>
      </c>
      <c r="AD43">
        <v>1.26</v>
      </c>
      <c r="AE43">
        <v>0.46300000000000002</v>
      </c>
      <c r="AF43">
        <v>4.2999999999999997E-2</v>
      </c>
    </row>
    <row r="44" spans="2:41">
      <c r="P44">
        <v>4.2999999999999997E-2</v>
      </c>
      <c r="Q44">
        <v>0.50800000000000001</v>
      </c>
      <c r="R44">
        <v>1.1919999999999999</v>
      </c>
      <c r="S44">
        <v>2.4870000000000001</v>
      </c>
      <c r="T44">
        <v>4.5999999999999999E-2</v>
      </c>
      <c r="U44">
        <v>1.998</v>
      </c>
      <c r="V44" t="str">
        <v>OVRFLW</v>
      </c>
      <c r="W44" t="str">
        <v>OVRFLW</v>
      </c>
      <c r="Y44" t="s">
        <v>30</v>
      </c>
      <c r="Z44" t="s">
        <v>30</v>
      </c>
      <c r="AA44">
        <v>1.998</v>
      </c>
      <c r="AB44">
        <v>4.5999999999999999E-2</v>
      </c>
      <c r="AC44">
        <v>2.4870000000000001</v>
      </c>
      <c r="AD44">
        <v>1.1919999999999999</v>
      </c>
      <c r="AE44">
        <v>0.50800000000000001</v>
      </c>
      <c r="AF44">
        <v>4.2999999999999997E-2</v>
      </c>
    </row>
    <row r="45" spans="2:41">
      <c r="P45">
        <v>4.3999999999999997E-2</v>
      </c>
      <c r="Q45">
        <v>0.67300000000000004</v>
      </c>
      <c r="R45">
        <v>1.5149999999999999</v>
      </c>
      <c r="S45">
        <v>2.8759999999999999</v>
      </c>
      <c r="T45">
        <v>5.1999999999999998E-2</v>
      </c>
      <c r="U45">
        <v>0.41899999999999998</v>
      </c>
      <c r="V45">
        <v>0.94199999999999995</v>
      </c>
      <c r="W45">
        <v>1.573</v>
      </c>
      <c r="Y45">
        <v>1.573</v>
      </c>
      <c r="Z45">
        <v>0.94199999999999995</v>
      </c>
      <c r="AA45">
        <v>0.41899999999999998</v>
      </c>
      <c r="AB45">
        <v>5.1999999999999998E-2</v>
      </c>
      <c r="AC45">
        <v>2.8759999999999999</v>
      </c>
      <c r="AD45">
        <v>1.5149999999999999</v>
      </c>
      <c r="AE45">
        <v>0.67300000000000004</v>
      </c>
      <c r="AF45">
        <v>4.3999999999999997E-2</v>
      </c>
    </row>
    <row r="46" spans="2:41">
      <c r="H46" s="23">
        <v>2.3540000000000001</v>
      </c>
      <c r="I46" s="23">
        <v>1.998</v>
      </c>
      <c r="K46" s="8">
        <v>0.67300000000000004</v>
      </c>
      <c r="L46" s="8">
        <v>0.70699999999999996</v>
      </c>
      <c r="P46">
        <v>4.2999999999999997E-2</v>
      </c>
      <c r="Q46">
        <v>0.70699999999999996</v>
      </c>
      <c r="R46">
        <v>1.544</v>
      </c>
      <c r="S46">
        <v>3.0030000000000001</v>
      </c>
      <c r="T46">
        <v>4.3999999999999997E-2</v>
      </c>
      <c r="U46">
        <v>0.39400000000000002</v>
      </c>
      <c r="V46">
        <v>0.876</v>
      </c>
      <c r="W46">
        <v>1.635</v>
      </c>
      <c r="Y46">
        <v>1.635</v>
      </c>
      <c r="Z46">
        <v>0.876</v>
      </c>
      <c r="AA46">
        <v>0.39400000000000002</v>
      </c>
      <c r="AB46">
        <v>4.3999999999999997E-2</v>
      </c>
      <c r="AC46">
        <v>3.0030000000000001</v>
      </c>
      <c r="AD46">
        <v>1.544</v>
      </c>
      <c r="AE46">
        <v>0.70699999999999996</v>
      </c>
      <c r="AF46">
        <v>4.2999999999999997E-2</v>
      </c>
    </row>
    <row r="47" spans="2:41" ht="14">
      <c r="H47" s="23" t="s">
        <v>30</v>
      </c>
      <c r="I47" s="23" t="s">
        <v>30</v>
      </c>
      <c r="K47" s="17">
        <v>1.5149999999999999</v>
      </c>
      <c r="L47" s="17">
        <v>1.544</v>
      </c>
      <c r="P47">
        <v>4.3999999999999997E-2</v>
      </c>
      <c r="Q47">
        <v>0.99099999999999999</v>
      </c>
      <c r="R47">
        <v>2.198</v>
      </c>
      <c r="S47" t="str">
        <v>OVRFLW</v>
      </c>
      <c r="T47">
        <v>4.3999999999999997E-2</v>
      </c>
      <c r="U47">
        <v>0.255</v>
      </c>
      <c r="V47">
        <v>0.60699999999999998</v>
      </c>
      <c r="W47">
        <v>0.97199999999999998</v>
      </c>
      <c r="Y47">
        <v>0.97199999999999998</v>
      </c>
      <c r="Z47">
        <v>0.60699999999999998</v>
      </c>
      <c r="AA47">
        <v>0.255</v>
      </c>
      <c r="AB47">
        <v>4.3999999999999997E-2</v>
      </c>
      <c r="AC47" t="s">
        <v>30</v>
      </c>
      <c r="AD47">
        <v>2.198</v>
      </c>
      <c r="AE47">
        <v>0.99099999999999999</v>
      </c>
      <c r="AF47">
        <v>4.3999999999999997E-2</v>
      </c>
    </row>
    <row r="48" spans="2:41" ht="14">
      <c r="H48" s="23" t="s">
        <v>30</v>
      </c>
      <c r="I48" s="23" t="s">
        <v>30</v>
      </c>
      <c r="K48" s="21">
        <v>2.8759999999999999</v>
      </c>
      <c r="L48" s="21">
        <v>3.0030000000000001</v>
      </c>
      <c r="P48">
        <v>4.3999999999999997E-2</v>
      </c>
      <c r="Q48">
        <v>0.98299999999999998</v>
      </c>
      <c r="R48">
        <v>2.1850000000000001</v>
      </c>
      <c r="S48" t="str">
        <v>OVRFLW</v>
      </c>
      <c r="T48">
        <v>4.2999999999999997E-2</v>
      </c>
      <c r="U48">
        <v>0.26400000000000001</v>
      </c>
      <c r="V48">
        <v>0.56899999999999995</v>
      </c>
      <c r="W48">
        <v>1.0289999999999999</v>
      </c>
      <c r="Y48">
        <v>1.0289999999999999</v>
      </c>
      <c r="Z48">
        <v>0.56899999999999995</v>
      </c>
      <c r="AA48">
        <v>0.26400000000000001</v>
      </c>
      <c r="AB48">
        <v>4.2999999999999997E-2</v>
      </c>
      <c r="AC48" t="s">
        <v>30</v>
      </c>
      <c r="AD48">
        <v>2.1850000000000001</v>
      </c>
      <c r="AE48">
        <v>0.98299999999999998</v>
      </c>
      <c r="AF48">
        <v>4.3999999999999997E-2</v>
      </c>
    </row>
    <row r="49" spans="16:32">
      <c r="P49">
        <v>-3.0000000000000001E-3</v>
      </c>
      <c r="Q49">
        <v>-3.0000000000000001E-3</v>
      </c>
      <c r="R49">
        <v>-3.0000000000000001E-3</v>
      </c>
      <c r="S49">
        <v>-3.0000000000000001E-3</v>
      </c>
      <c r="T49">
        <v>-3.0000000000000001E-3</v>
      </c>
      <c r="U49">
        <v>-3.0000000000000001E-3</v>
      </c>
      <c r="V49">
        <v>-3.0000000000000001E-3</v>
      </c>
      <c r="W49">
        <v>-3.0000000000000001E-3</v>
      </c>
      <c r="Y49">
        <v>-3.0000000000000001E-3</v>
      </c>
      <c r="Z49">
        <v>-3.0000000000000001E-3</v>
      </c>
      <c r="AA49">
        <v>-3.0000000000000001E-3</v>
      </c>
      <c r="AB49">
        <v>-3.0000000000000001E-3</v>
      </c>
      <c r="AC49">
        <v>-3.0000000000000001E-3</v>
      </c>
      <c r="AD49">
        <v>-3.0000000000000001E-3</v>
      </c>
      <c r="AE49">
        <v>-3.0000000000000001E-3</v>
      </c>
      <c r="AF49">
        <v>-3.0000000000000001E-3</v>
      </c>
    </row>
  </sheetData>
  <sortState xmlns:xlrd2="http://schemas.microsoft.com/office/spreadsheetml/2017/richdata2" columnSort="1" ref="Y37:AF49">
    <sortCondition descending="1" ref="Y37:AF37"/>
  </sortState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Microsoft Office User</cp:lastModifiedBy>
  <dcterms:created xsi:type="dcterms:W3CDTF">2011-01-18T20:51:17Z</dcterms:created>
  <dcterms:modified xsi:type="dcterms:W3CDTF">2024-12-05T18:49:22Z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