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1827093696</definedName>
    <definedName name="MethodPointer2">594</definedName>
  </definedNames>
  <calcPr calcId="124519"/>
</workbook>
</file>

<file path=xl/calcChain.xml><?xml version="1.0" encoding="utf-8"?>
<calcChain xmlns="http://schemas.openxmlformats.org/spreadsheetml/2006/main">
  <c r="R18" i="1"/>
  <c r="R19"/>
  <c r="R20"/>
  <c r="R21"/>
  <c r="R22"/>
  <c r="R23"/>
  <c r="R24"/>
  <c r="R17"/>
  <c r="R26"/>
  <c r="R27"/>
  <c r="R28"/>
  <c r="R29"/>
  <c r="R30"/>
  <c r="R31"/>
  <c r="R32"/>
  <c r="R25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<sst xmlns="http://schemas.openxmlformats.org/spreadsheetml/2006/main" count="33" uniqueCount="33">
  <si>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</si>
  <si>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</si>
  <si>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</si>
  <si>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t>D:\Experiment2.xpt</t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</si>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</sst>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xVal>
            <c:numRef>
              <c:f>'板 1 - Sheet1'!$Q$25:$Q$28</c:f>
              <c:numCache>
                <c:formatCode>General</c:formatCode>
                <c:ptCount val="4"/>
                <c:pt idx="0">
                  <c:v>1.5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</c:numCache>
            </c:numRef>
          </c:xVal>
          <c:yVal>
            <c:numRef>
              <c:f>'板 1 - Sheet1'!$R$25:$R$28</c:f>
              <c:numCache>
                <c:formatCode>General</c:formatCode>
                <c:ptCount val="4"/>
                <c:pt idx="0">
                  <c:v>0.10300000000000001</c:v>
                </c:pt>
                <c:pt idx="1">
                  <c:v>9.2499999999999999E-2</c:v>
                </c:pt>
                <c:pt idx="2">
                  <c:v>7.9999999999999988E-2</c:v>
                </c:pt>
                <c:pt idx="3">
                  <c:v>6.25E-2</c:v>
                </c:pt>
              </c:numCache>
            </c:numRef>
          </c:yVal>
          <c:smooth val="1"/>
        </c:ser>
        <c:axId val="58544512"/>
        <c:axId val="58542720"/>
      </c:scatterChart>
      <c:valAx>
        <c:axId val="58544512"/>
        <c:scaling>
          <c:orientation val="minMax"/>
        </c:scaling>
        <c:axPos val="b"/>
        <c:numFmt formatCode="General" sourceLinked="1"/>
        <c:tickLblPos val="nextTo"/>
        <c:crossAx val="58542720"/>
        <c:crosses val="autoZero"/>
        <c:crossBetween val="midCat"/>
      </c:valAx>
      <c:valAx>
        <c:axId val="58542720"/>
        <c:scaling>
          <c:orientation val="minMax"/>
        </c:scaling>
        <c:axPos val="l"/>
        <c:majorGridlines/>
        <c:numFmt formatCode="General" sourceLinked="1"/>
        <c:tickLblPos val="nextTo"/>
        <c:crossAx val="585445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5</xdr:row>
      <xdr:rowOff>19050</xdr:rowOff>
    </xdr:from>
    <xdr:to>
      <xdr:col>12</xdr:col>
      <xdr:colOff>495300</xdr:colOff>
      <xdr:row>22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32"/>
  <sheetViews>
    <sheetView tabSelected="1" workbookViewId="0">
      <selection activeCell="Q25" sqref="Q25:Q27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45613</v>
      </c>
    </row>
    <row r="8" spans="1:2">
      <c r="A8" s="1" t="s">
        <v>8</v>
      </c>
      <c r="B8" s="3">
        <v>0.71246527777777768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8">
      <c r="B17" s="1" t="s">
        <v>20</v>
      </c>
      <c r="R17">
        <f>(F25+G25)/2</f>
        <v>5.7000000000000002E-2</v>
      </c>
    </row>
    <row r="18" spans="1:18">
      <c r="B18" s="1" t="s">
        <v>21</v>
      </c>
      <c r="Q18">
        <v>5</v>
      </c>
      <c r="R18">
        <f>(F26+G26)/2</f>
        <v>0.122</v>
      </c>
    </row>
    <row r="19" spans="1:18">
      <c r="B19" s="1" t="s">
        <v>22</v>
      </c>
      <c r="Q19">
        <v>4.5</v>
      </c>
      <c r="R19">
        <f>(F27+G27)/2</f>
        <v>0.182</v>
      </c>
    </row>
    <row r="20" spans="1:18">
      <c r="Q20">
        <v>4</v>
      </c>
      <c r="R20">
        <f>(F28+G28)/2</f>
        <v>0.26900000000000002</v>
      </c>
    </row>
    <row r="21" spans="1:18">
      <c r="A21" s="4" t="s">
        <v>23</v>
      </c>
      <c r="B21" s="5"/>
      <c r="Q21">
        <v>3.5</v>
      </c>
      <c r="R21">
        <f>(F29+G29)/2</f>
        <v>0.28100000000000003</v>
      </c>
    </row>
    <row r="22" spans="1:18">
      <c r="A22" s="1" t="s">
        <v>24</v>
      </c>
      <c r="B22">
        <v>22.3</v>
      </c>
      <c r="Q22">
        <v>3</v>
      </c>
      <c r="R22">
        <f>(F30+G30)/2</f>
        <v>0.249</v>
      </c>
    </row>
    <row r="23" spans="1:18">
      <c r="Q23">
        <v>2.5</v>
      </c>
      <c r="R23">
        <f>(F31+G31)/2</f>
        <v>0.32450000000000001</v>
      </c>
    </row>
    <row r="24" spans="1:18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23">
        <v>2</v>
      </c>
      <c r="R24">
        <f>(F32+G32)/2</f>
        <v>0.23250000000000001</v>
      </c>
    </row>
    <row r="25" spans="1:18">
      <c r="B25" s="7" t="s">
        <v>25</v>
      </c>
      <c r="C25" s="8">
        <v>0.08</v>
      </c>
      <c r="D25" s="9">
        <v>0.126</v>
      </c>
      <c r="E25" s="10">
        <v>0</v>
      </c>
      <c r="F25" s="8">
        <v>5.8000000000000003E-2</v>
      </c>
      <c r="G25" s="8">
        <v>5.6000000000000001E-2</v>
      </c>
      <c r="H25" s="10">
        <v>0</v>
      </c>
      <c r="I25" s="10">
        <v>0</v>
      </c>
      <c r="J25" s="11">
        <v>4.5999999999999999E-2</v>
      </c>
      <c r="K25" s="11">
        <v>4.5999999999999999E-2</v>
      </c>
      <c r="L25" s="10">
        <v>0</v>
      </c>
      <c r="M25" s="10">
        <v>0</v>
      </c>
      <c r="N25" s="10">
        <v>0</v>
      </c>
      <c r="O25" s="12">
        <v>560</v>
      </c>
      <c r="Q25" s="22">
        <v>1.5</v>
      </c>
      <c r="R25">
        <f>(C25+D25)/2</f>
        <v>0.10300000000000001</v>
      </c>
    </row>
    <row r="26" spans="1:18">
      <c r="B26" s="7" t="s">
        <v>26</v>
      </c>
      <c r="C26" s="13">
        <v>8.1000000000000003E-2</v>
      </c>
      <c r="D26" s="13">
        <v>0.104</v>
      </c>
      <c r="E26" s="10">
        <v>0</v>
      </c>
      <c r="F26" s="9">
        <v>0.12</v>
      </c>
      <c r="G26" s="9">
        <v>0.124</v>
      </c>
      <c r="H26" s="10">
        <v>0</v>
      </c>
      <c r="I26" s="10">
        <v>0</v>
      </c>
      <c r="J26" s="11">
        <v>5.2999999999999999E-2</v>
      </c>
      <c r="K26" s="11">
        <v>4.9000000000000002E-2</v>
      </c>
      <c r="L26" s="10">
        <v>0</v>
      </c>
      <c r="M26" s="10">
        <v>0</v>
      </c>
      <c r="N26" s="10">
        <v>0</v>
      </c>
      <c r="O26" s="12">
        <v>560</v>
      </c>
      <c r="Q26" s="22">
        <v>1</v>
      </c>
      <c r="R26">
        <f t="shared" ref="R26:R32" si="0">(C26+D26)/2</f>
        <v>9.2499999999999999E-2</v>
      </c>
    </row>
    <row r="27" spans="1:18">
      <c r="B27" s="7" t="s">
        <v>27</v>
      </c>
      <c r="C27" s="8">
        <v>7.3999999999999996E-2</v>
      </c>
      <c r="D27" s="13">
        <v>8.5999999999999993E-2</v>
      </c>
      <c r="E27" s="10">
        <v>0</v>
      </c>
      <c r="F27" s="9">
        <v>0.122</v>
      </c>
      <c r="G27" s="14">
        <v>0.24199999999999999</v>
      </c>
      <c r="H27" s="10">
        <v>0</v>
      </c>
      <c r="I27" s="10">
        <v>0</v>
      </c>
      <c r="J27" s="8">
        <v>5.6000000000000001E-2</v>
      </c>
      <c r="K27" s="11">
        <v>5.1999999999999998E-2</v>
      </c>
      <c r="L27" s="10">
        <v>0</v>
      </c>
      <c r="M27" s="10">
        <v>0</v>
      </c>
      <c r="N27" s="10">
        <v>0</v>
      </c>
      <c r="O27" s="12">
        <v>560</v>
      </c>
      <c r="Q27" s="22">
        <v>0.5</v>
      </c>
      <c r="R27">
        <f t="shared" si="0"/>
        <v>7.9999999999999988E-2</v>
      </c>
    </row>
    <row r="28" spans="1:18">
      <c r="B28" s="7" t="s">
        <v>28</v>
      </c>
      <c r="C28" s="8">
        <v>6.0999999999999999E-2</v>
      </c>
      <c r="D28" s="8">
        <v>6.4000000000000001E-2</v>
      </c>
      <c r="E28" s="10">
        <v>0</v>
      </c>
      <c r="F28" s="15">
        <v>0.22700000000000001</v>
      </c>
      <c r="G28" s="16">
        <v>0.311</v>
      </c>
      <c r="H28" s="10">
        <v>0</v>
      </c>
      <c r="I28" s="10">
        <v>0</v>
      </c>
      <c r="J28" s="11">
        <v>5.2999999999999999E-2</v>
      </c>
      <c r="K28" s="11">
        <v>5.2999999999999999E-2</v>
      </c>
      <c r="L28" s="10">
        <v>0</v>
      </c>
      <c r="M28" s="10">
        <v>0</v>
      </c>
      <c r="N28" s="10">
        <v>0</v>
      </c>
      <c r="O28" s="12">
        <v>560</v>
      </c>
      <c r="Q28" s="22">
        <v>0.25</v>
      </c>
      <c r="R28">
        <f t="shared" si="0"/>
        <v>6.25E-2</v>
      </c>
    </row>
    <row r="29" spans="1:18">
      <c r="B29" s="7" t="s">
        <v>29</v>
      </c>
      <c r="C29" s="11">
        <v>5.1999999999999998E-2</v>
      </c>
      <c r="D29" s="8">
        <v>0.06</v>
      </c>
      <c r="E29" s="10">
        <v>0</v>
      </c>
      <c r="F29" s="17">
        <v>0.187</v>
      </c>
      <c r="G29" s="18">
        <v>0.375</v>
      </c>
      <c r="H29" s="10">
        <v>0</v>
      </c>
      <c r="I29" s="10">
        <v>0</v>
      </c>
      <c r="J29" s="8">
        <v>5.5E-2</v>
      </c>
      <c r="K29" s="8">
        <v>5.5E-2</v>
      </c>
      <c r="L29" s="10">
        <v>0</v>
      </c>
      <c r="M29" s="10">
        <v>0</v>
      </c>
      <c r="N29" s="10">
        <v>0</v>
      </c>
      <c r="O29" s="12">
        <v>560</v>
      </c>
      <c r="Q29" s="22">
        <v>2.5000000000000001E-2</v>
      </c>
      <c r="R29">
        <f t="shared" si="0"/>
        <v>5.5999999999999994E-2</v>
      </c>
    </row>
    <row r="30" spans="1:18">
      <c r="B30" s="7" t="s">
        <v>30</v>
      </c>
      <c r="C30" s="8">
        <v>5.3999999999999999E-2</v>
      </c>
      <c r="D30" s="8">
        <v>6.0999999999999999E-2</v>
      </c>
      <c r="E30" s="10">
        <v>0</v>
      </c>
      <c r="F30" s="19">
        <v>0.20899999999999999</v>
      </c>
      <c r="G30" s="20">
        <v>0.28899999999999998</v>
      </c>
      <c r="H30" s="10">
        <v>0</v>
      </c>
      <c r="I30" s="10">
        <v>0</v>
      </c>
      <c r="J30" s="8">
        <v>5.7000000000000002E-2</v>
      </c>
      <c r="K30" s="8">
        <v>5.6000000000000001E-2</v>
      </c>
      <c r="L30" s="10">
        <v>0</v>
      </c>
      <c r="M30" s="10">
        <v>0</v>
      </c>
      <c r="N30" s="10">
        <v>0</v>
      </c>
      <c r="O30" s="12">
        <v>560</v>
      </c>
      <c r="Q30" s="22">
        <v>2.5000000000000001E-3</v>
      </c>
      <c r="R30">
        <f t="shared" si="0"/>
        <v>5.7499999999999996E-2</v>
      </c>
    </row>
    <row r="31" spans="1:18">
      <c r="B31" s="7" t="s">
        <v>31</v>
      </c>
      <c r="C31" s="11">
        <v>5.2999999999999999E-2</v>
      </c>
      <c r="D31" s="8">
        <v>5.8000000000000003E-2</v>
      </c>
      <c r="E31" s="10">
        <v>0</v>
      </c>
      <c r="F31" s="16">
        <v>0.3</v>
      </c>
      <c r="G31" s="18">
        <v>0.34899999999999998</v>
      </c>
      <c r="H31" s="10">
        <v>0</v>
      </c>
      <c r="I31" s="10">
        <v>0</v>
      </c>
      <c r="J31" s="8">
        <v>6.0999999999999999E-2</v>
      </c>
      <c r="K31" s="8">
        <v>6.0999999999999999E-2</v>
      </c>
      <c r="L31" s="10">
        <v>0</v>
      </c>
      <c r="M31" s="10">
        <v>0</v>
      </c>
      <c r="N31" s="10">
        <v>0</v>
      </c>
      <c r="O31" s="12">
        <v>560</v>
      </c>
      <c r="Q31" s="22">
        <v>2.5000000000000001E-4</v>
      </c>
      <c r="R31">
        <f t="shared" si="0"/>
        <v>5.5500000000000001E-2</v>
      </c>
    </row>
    <row r="32" spans="1:18">
      <c r="B32" s="7" t="s">
        <v>32</v>
      </c>
      <c r="C32" s="11">
        <v>4.9000000000000002E-2</v>
      </c>
      <c r="D32" s="8">
        <v>5.6000000000000001E-2</v>
      </c>
      <c r="E32" s="10">
        <v>0</v>
      </c>
      <c r="F32" s="21">
        <v>0.33300000000000002</v>
      </c>
      <c r="G32" s="9">
        <v>0.13200000000000001</v>
      </c>
      <c r="H32" s="10">
        <v>0</v>
      </c>
      <c r="I32" s="10">
        <v>0</v>
      </c>
      <c r="J32" s="8">
        <v>7.1999999999999995E-2</v>
      </c>
      <c r="K32" s="8">
        <v>7.6999999999999999E-2</v>
      </c>
      <c r="L32" s="10">
        <v>0</v>
      </c>
      <c r="M32" s="10">
        <v>0</v>
      </c>
      <c r="N32" s="10">
        <v>0</v>
      </c>
      <c r="O32" s="12">
        <v>560</v>
      </c>
      <c r="Q32" s="22">
        <v>0</v>
      </c>
      <c r="R32">
        <f t="shared" si="0"/>
        <v>5.2500000000000005E-2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2024-11-17T09:21:13Z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