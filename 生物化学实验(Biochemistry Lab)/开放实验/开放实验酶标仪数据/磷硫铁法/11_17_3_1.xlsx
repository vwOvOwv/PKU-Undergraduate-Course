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开放实验/开放实验酶标仪数据/磷硫铁法/"/>
    </mc:Choice>
  </mc:AlternateContent>
  <xr:revisionPtr revIDLastSave="0" documentId="13_ncr:1_{E40CE9C2-0936-534B-BFB7-A6BD7743FC60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板 1 - Sheet1" sheetId="1" r:id="rId1"/>
  </sheets>
  <definedNames>
    <definedName name="MethodPointer1">1785934416</definedName>
    <definedName name="MethodPointer2">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6" i="1" l="1" a="1"/>
  <c r="C46" i="1" s="1"/>
  <c r="W43" i="1"/>
  <c r="X43" i="1"/>
  <c r="Y43" i="1"/>
  <c r="Z43" i="1"/>
  <c r="AA43" i="1"/>
  <c r="AB43" i="1"/>
  <c r="AC43" i="1"/>
  <c r="V43" i="1"/>
  <c r="W42" i="1"/>
  <c r="X42" i="1"/>
  <c r="Y42" i="1"/>
  <c r="Z42" i="1"/>
  <c r="AA42" i="1"/>
  <c r="AB42" i="1"/>
  <c r="AC42" i="1"/>
  <c r="V42" i="1"/>
  <c r="C40" i="1" l="1" a="1"/>
  <c r="C40" i="1" s="1"/>
  <c r="Q25" i="1" l="1"/>
  <c r="R25" i="1" s="1"/>
  <c r="Q24" i="1"/>
  <c r="R24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17" i="1"/>
  <c r="R17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26" i="1"/>
  <c r="R2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<sst xmlns="http://schemas.openxmlformats.org/spreadsheetml/2006/main" count="33" uniqueCount="33">
  <si>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</si>
  <si>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</si>
  <si>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</si>
  <si>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t>C:\Users\biochemistry lab\Desktop\Experiment1.xpt</t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</si>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</sst>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'板 1 - Sheet1'!$P$26:$P$29</c:f>
              <c:numCache>
                <c:formatCode>General</c:formatCode>
                <c:ptCount val="4"/>
                <c:pt idx="0">
                  <c:v>0.04</c:v>
                </c:pt>
                <c:pt idx="1">
                  <c:v>0.02</c:v>
                </c:pt>
                <c:pt idx="2">
                  <c:v>0.01</c:v>
                </c:pt>
                <c:pt idx="3">
                  <c:v>1E-3</c:v>
                </c:pt>
              </c:numCache>
            </c:numRef>
          </c:xVal>
          <c:yVal>
            <c:numRef>
              <c:f>'板 1 - Sheet1'!$R$26:$R$29</c:f>
              <c:numCache>
                <c:formatCode>General</c:formatCode>
                <c:ptCount val="4"/>
                <c:pt idx="0">
                  <c:v>9.2999999999999999E-2</c:v>
                </c:pt>
                <c:pt idx="1">
                  <c:v>5.050000000000001E-2</c:v>
                </c:pt>
                <c:pt idx="2">
                  <c:v>2.0499999999999997E-2</c:v>
                </c:pt>
                <c:pt idx="3">
                  <c:v>5.5000000000000049E-3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C9-E24A-940D-064CA5377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36608"/>
        <c:axId val="184421760"/>
      </c:scatterChart>
      <c:valAx>
        <c:axId val="18443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421760"/>
        <c:crosses val="autoZero"/>
        <c:crossBetween val="midCat"/>
      </c:valAx>
      <c:valAx>
        <c:axId val="1844217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443660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5</xdr:row>
      <xdr:rowOff>28575</xdr:rowOff>
    </xdr:from>
    <xdr:to>
      <xdr:col>13</xdr:col>
      <xdr:colOff>571500</xdr:colOff>
      <xdr:row>22</xdr:row>
      <xdr:rowOff>19050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47"/>
  <sheetViews>
    <sheetView tabSelected="1" topLeftCell="C4" zoomScale="101" workbookViewId="0">
      <selection activeCell="V42" sqref="V42:AC43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2" spans="1:2" ht="14">
      <c r="A2" s="1" t="s">
        <v>0</v>
      </c>
      <c r="B2" t="s">
        <v>1</v>
      </c>
    </row>
    <row r="4" spans="1:2" ht="14">
      <c r="A4" s="1" t="s">
        <v>2</v>
      </c>
      <c r="B4" t="s">
        <v>3</v>
      </c>
    </row>
    <row r="5" spans="1:2" ht="14">
      <c r="A5" s="1" t="s">
        <v>4</v>
      </c>
    </row>
    <row r="6" spans="1:2" ht="14">
      <c r="A6" s="1" t="s">
        <v>5</v>
      </c>
      <c r="B6" s="1" t="s">
        <v>6</v>
      </c>
    </row>
    <row r="7" spans="1:2" ht="14">
      <c r="A7" s="1" t="s">
        <v>7</v>
      </c>
      <c r="B7" s="2">
        <v>45613</v>
      </c>
    </row>
    <row r="8" spans="1:2" ht="14">
      <c r="A8" s="1" t="s">
        <v>8</v>
      </c>
      <c r="B8" s="3">
        <v>0.64858796296296295</v>
      </c>
    </row>
    <row r="9" spans="1:2" ht="14">
      <c r="A9" s="1" t="s">
        <v>9</v>
      </c>
      <c r="B9" t="s">
        <v>10</v>
      </c>
    </row>
    <row r="10" spans="1:2" ht="14">
      <c r="A10" s="1" t="s">
        <v>11</v>
      </c>
      <c r="B10">
        <v>19012425</v>
      </c>
    </row>
    <row r="11" spans="1:2" ht="14">
      <c r="A11" s="1" t="s">
        <v>12</v>
      </c>
      <c r="B11" s="1" t="s">
        <v>13</v>
      </c>
    </row>
    <row r="13" spans="1:2" ht="14">
      <c r="A13" s="4" t="s">
        <v>14</v>
      </c>
      <c r="B13" s="5"/>
    </row>
    <row r="14" spans="1:2" ht="14">
      <c r="A14" s="1" t="s">
        <v>15</v>
      </c>
      <c r="B14" t="s">
        <v>16</v>
      </c>
    </row>
    <row r="15" spans="1:2" ht="14">
      <c r="A15" s="1" t="s">
        <v>17</v>
      </c>
    </row>
    <row r="16" spans="1:2" ht="14">
      <c r="A16" s="1" t="s">
        <v>18</v>
      </c>
      <c r="B16" s="1" t="s">
        <v>19</v>
      </c>
    </row>
    <row r="17" spans="1:18" ht="14">
      <c r="B17" s="1" t="s">
        <v>20</v>
      </c>
      <c r="Q17">
        <f t="shared" ref="Q17:Q24" si="0">(E25+F25)/2</f>
        <v>6.4500000000000002E-2</v>
      </c>
      <c r="R17">
        <f t="shared" ref="R17:R31" si="1">Q17-0.052</f>
        <v>1.2500000000000004E-2</v>
      </c>
    </row>
    <row r="18" spans="1:18" ht="14">
      <c r="B18" s="1" t="s">
        <v>21</v>
      </c>
      <c r="P18">
        <v>0.2</v>
      </c>
      <c r="Q18">
        <f t="shared" si="0"/>
        <v>0.30399999999999999</v>
      </c>
      <c r="R18">
        <f t="shared" si="1"/>
        <v>0.252</v>
      </c>
    </row>
    <row r="19" spans="1:18" ht="14">
      <c r="B19" s="1" t="s">
        <v>22</v>
      </c>
      <c r="P19">
        <v>0.18</v>
      </c>
      <c r="Q19">
        <f t="shared" si="0"/>
        <v>0.24349999999999999</v>
      </c>
      <c r="R19">
        <f t="shared" si="1"/>
        <v>0.1915</v>
      </c>
    </row>
    <row r="20" spans="1:18">
      <c r="P20">
        <v>0.16</v>
      </c>
      <c r="Q20">
        <f t="shared" si="0"/>
        <v>0.5595</v>
      </c>
      <c r="R20">
        <f t="shared" si="1"/>
        <v>0.50749999999999995</v>
      </c>
    </row>
    <row r="21" spans="1:18" ht="14">
      <c r="A21" s="4" t="s">
        <v>23</v>
      </c>
      <c r="B21" s="5"/>
      <c r="P21">
        <v>0.14000000000000001</v>
      </c>
      <c r="Q21">
        <f t="shared" si="0"/>
        <v>0.50149999999999995</v>
      </c>
      <c r="R21">
        <f t="shared" si="1"/>
        <v>0.44949999999999996</v>
      </c>
    </row>
    <row r="22" spans="1:18" ht="14">
      <c r="A22" s="1" t="s">
        <v>24</v>
      </c>
      <c r="B22">
        <v>22.7</v>
      </c>
      <c r="P22">
        <v>0.12</v>
      </c>
      <c r="Q22">
        <f t="shared" si="0"/>
        <v>0.22399999999999998</v>
      </c>
      <c r="R22">
        <f t="shared" si="1"/>
        <v>0.17199999999999999</v>
      </c>
    </row>
    <row r="23" spans="1:18">
      <c r="P23">
        <v>0.1</v>
      </c>
      <c r="Q23">
        <f t="shared" si="0"/>
        <v>0.254</v>
      </c>
      <c r="R23">
        <f t="shared" si="1"/>
        <v>0.20200000000000001</v>
      </c>
    </row>
    <row r="24" spans="1:18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P24">
        <v>0.08</v>
      </c>
      <c r="Q24">
        <f t="shared" si="0"/>
        <v>8.5999999999999993E-2</v>
      </c>
      <c r="R24">
        <f t="shared" si="1"/>
        <v>3.3999999999999996E-2</v>
      </c>
    </row>
    <row r="25" spans="1:18" ht="14">
      <c r="B25" s="7" t="s">
        <v>25</v>
      </c>
      <c r="C25" s="8">
        <v>0.104</v>
      </c>
      <c r="D25" s="8">
        <v>7.5999999999999998E-2</v>
      </c>
      <c r="E25" s="8">
        <v>6.4000000000000001E-2</v>
      </c>
      <c r="F25" s="8">
        <v>6.5000000000000002E-2</v>
      </c>
      <c r="G25" s="9">
        <v>0</v>
      </c>
      <c r="H25" s="9">
        <v>4.4999999999999998E-2</v>
      </c>
      <c r="I25" s="9">
        <v>4.8000000000000001E-2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10">
        <v>560</v>
      </c>
      <c r="P25">
        <v>0.06</v>
      </c>
      <c r="Q25">
        <f t="shared" ref="Q25:Q32" si="2">(C25+D25)/2</f>
        <v>0.09</v>
      </c>
      <c r="R25">
        <f t="shared" si="1"/>
        <v>3.7999999999999999E-2</v>
      </c>
    </row>
    <row r="26" spans="1:18" ht="14">
      <c r="B26" s="7" t="s">
        <v>26</v>
      </c>
      <c r="C26" s="11">
        <v>0.18</v>
      </c>
      <c r="D26" s="8">
        <v>0.11</v>
      </c>
      <c r="E26" s="12">
        <v>0.311</v>
      </c>
      <c r="F26" s="12">
        <v>0.29699999999999999</v>
      </c>
      <c r="G26" s="9">
        <v>0</v>
      </c>
      <c r="H26" s="9">
        <v>5.3999999999999999E-2</v>
      </c>
      <c r="I26" s="9">
        <v>5.8000000000000003E-2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10">
        <v>560</v>
      </c>
      <c r="P26">
        <v>0.04</v>
      </c>
      <c r="Q26">
        <f t="shared" si="2"/>
        <v>0.14499999999999999</v>
      </c>
      <c r="R26">
        <f t="shared" si="1"/>
        <v>9.2999999999999999E-2</v>
      </c>
    </row>
    <row r="27" spans="1:18" ht="14">
      <c r="B27" s="7" t="s">
        <v>27</v>
      </c>
      <c r="C27" s="8">
        <v>0.106</v>
      </c>
      <c r="D27" s="8">
        <v>9.9000000000000005E-2</v>
      </c>
      <c r="E27" s="13">
        <v>0.25900000000000001</v>
      </c>
      <c r="F27" s="11">
        <v>0.22800000000000001</v>
      </c>
      <c r="G27" s="9">
        <v>0</v>
      </c>
      <c r="H27" s="9">
        <v>5.1999999999999998E-2</v>
      </c>
      <c r="I27" s="8">
        <v>6.3E-2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10">
        <v>560</v>
      </c>
      <c r="P27">
        <v>0.02</v>
      </c>
      <c r="Q27">
        <f t="shared" si="2"/>
        <v>0.10250000000000001</v>
      </c>
      <c r="R27">
        <f t="shared" si="1"/>
        <v>5.050000000000001E-2</v>
      </c>
    </row>
    <row r="28" spans="1:18" ht="14">
      <c r="B28" s="7" t="s">
        <v>28</v>
      </c>
      <c r="C28" s="8">
        <v>7.3999999999999996E-2</v>
      </c>
      <c r="D28" s="8">
        <v>7.0999999999999994E-2</v>
      </c>
      <c r="E28" s="14">
        <v>0.68200000000000005</v>
      </c>
      <c r="F28" s="15">
        <v>0.437</v>
      </c>
      <c r="G28" s="9">
        <v>0</v>
      </c>
      <c r="H28" s="9">
        <v>5.2999999999999999E-2</v>
      </c>
      <c r="I28" s="9">
        <v>5.3999999999999999E-2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10">
        <v>560</v>
      </c>
      <c r="P28">
        <v>0.01</v>
      </c>
      <c r="Q28">
        <f t="shared" si="2"/>
        <v>7.2499999999999995E-2</v>
      </c>
      <c r="R28">
        <f t="shared" si="1"/>
        <v>2.0499999999999997E-2</v>
      </c>
    </row>
    <row r="29" spans="1:18" ht="14">
      <c r="B29" s="7" t="s">
        <v>29</v>
      </c>
      <c r="C29" s="9">
        <v>5.7000000000000002E-2</v>
      </c>
      <c r="D29" s="9">
        <v>5.8000000000000003E-2</v>
      </c>
      <c r="E29" s="11">
        <v>0.17699999999999999</v>
      </c>
      <c r="F29" s="16">
        <v>0.82599999999999996</v>
      </c>
      <c r="G29" s="9">
        <v>0</v>
      </c>
      <c r="H29" s="9">
        <v>5.3999999999999999E-2</v>
      </c>
      <c r="I29" s="9">
        <v>5.7000000000000002E-2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10">
        <v>560</v>
      </c>
      <c r="P29">
        <v>1E-3</v>
      </c>
      <c r="Q29">
        <f t="shared" si="2"/>
        <v>5.7500000000000002E-2</v>
      </c>
      <c r="R29">
        <f t="shared" si="1"/>
        <v>5.5000000000000049E-3</v>
      </c>
    </row>
    <row r="30" spans="1:18" ht="14">
      <c r="B30" s="7" t="s">
        <v>30</v>
      </c>
      <c r="C30" s="8">
        <v>6.8000000000000005E-2</v>
      </c>
      <c r="D30" s="9">
        <v>5.1999999999999998E-2</v>
      </c>
      <c r="E30" s="13">
        <v>0.23799999999999999</v>
      </c>
      <c r="F30" s="11">
        <v>0.21</v>
      </c>
      <c r="G30" s="9">
        <v>0</v>
      </c>
      <c r="H30" s="9">
        <v>5.6000000000000001E-2</v>
      </c>
      <c r="I30" s="8">
        <v>6.6000000000000003E-2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10">
        <v>560</v>
      </c>
      <c r="P30">
        <v>1E-4</v>
      </c>
      <c r="Q30">
        <f t="shared" si="2"/>
        <v>0.06</v>
      </c>
      <c r="R30">
        <f t="shared" si="1"/>
        <v>8.0000000000000002E-3</v>
      </c>
    </row>
    <row r="31" spans="1:18" ht="14">
      <c r="B31" s="7" t="s">
        <v>31</v>
      </c>
      <c r="C31" s="9">
        <v>5.0999999999999997E-2</v>
      </c>
      <c r="D31" s="9">
        <v>5.2999999999999999E-2</v>
      </c>
      <c r="E31" s="17">
        <v>0.36199999999999999</v>
      </c>
      <c r="F31" s="18">
        <v>0.14599999999999999</v>
      </c>
      <c r="G31" s="9">
        <v>0</v>
      </c>
      <c r="H31" s="9">
        <v>5.7000000000000002E-2</v>
      </c>
      <c r="I31" s="9">
        <v>5.7000000000000002E-2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10">
        <v>560</v>
      </c>
      <c r="P31">
        <v>1.0000000000000001E-5</v>
      </c>
      <c r="Q31">
        <f t="shared" si="2"/>
        <v>5.1999999999999998E-2</v>
      </c>
      <c r="R31">
        <f t="shared" si="1"/>
        <v>0</v>
      </c>
    </row>
    <row r="32" spans="1:18" ht="14">
      <c r="B32" s="7" t="s">
        <v>32</v>
      </c>
      <c r="C32" s="9">
        <v>5.1999999999999998E-2</v>
      </c>
      <c r="D32" s="9">
        <v>5.1999999999999998E-2</v>
      </c>
      <c r="E32" s="8">
        <v>0.10199999999999999</v>
      </c>
      <c r="F32" s="8">
        <v>7.0000000000000007E-2</v>
      </c>
      <c r="G32" s="9">
        <v>0</v>
      </c>
      <c r="H32" s="8">
        <v>9.7000000000000003E-2</v>
      </c>
      <c r="I32" s="8">
        <v>7.2999999999999995E-2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10">
        <v>560</v>
      </c>
      <c r="P32">
        <v>0</v>
      </c>
      <c r="Q32">
        <f t="shared" si="2"/>
        <v>5.1999999999999998E-2</v>
      </c>
      <c r="R32">
        <f>Q32-0.052</f>
        <v>0</v>
      </c>
    </row>
    <row r="39" spans="3:29">
      <c r="C39">
        <v>1</v>
      </c>
      <c r="D39">
        <v>2</v>
      </c>
      <c r="E39">
        <v>3</v>
      </c>
      <c r="F39">
        <v>4</v>
      </c>
      <c r="G39">
        <v>5</v>
      </c>
      <c r="H39">
        <v>6</v>
      </c>
      <c r="I39">
        <v>7</v>
      </c>
      <c r="J39">
        <v>8</v>
      </c>
      <c r="M39">
        <v>8</v>
      </c>
      <c r="N39">
        <v>7</v>
      </c>
      <c r="O39">
        <v>6</v>
      </c>
      <c r="P39">
        <v>5</v>
      </c>
      <c r="Q39">
        <v>4</v>
      </c>
      <c r="R39">
        <v>3</v>
      </c>
      <c r="S39">
        <v>2</v>
      </c>
      <c r="T39">
        <v>1</v>
      </c>
    </row>
    <row r="40" spans="3:29">
      <c r="C40" cm="1">
        <f t="array" ref="C40:J43">TRANSPOSE(C25:F32)</f>
        <v>0.104</v>
      </c>
      <c r="D40">
        <v>0.18</v>
      </c>
      <c r="E40">
        <v>0.106</v>
      </c>
      <c r="F40">
        <v>7.3999999999999996E-2</v>
      </c>
      <c r="G40">
        <v>5.7000000000000002E-2</v>
      </c>
      <c r="H40">
        <v>6.8000000000000005E-2</v>
      </c>
      <c r="I40">
        <v>5.0999999999999997E-2</v>
      </c>
      <c r="J40">
        <v>5.1999999999999998E-2</v>
      </c>
      <c r="M40">
        <v>5.1999999999999998E-2</v>
      </c>
      <c r="N40">
        <v>5.0999999999999997E-2</v>
      </c>
      <c r="O40">
        <v>6.8000000000000005E-2</v>
      </c>
      <c r="P40">
        <v>5.7000000000000002E-2</v>
      </c>
      <c r="Q40">
        <v>7.3999999999999996E-2</v>
      </c>
      <c r="R40">
        <v>0.106</v>
      </c>
      <c r="S40">
        <v>0.18</v>
      </c>
      <c r="T40">
        <v>0.104</v>
      </c>
      <c r="V40">
        <v>9.7000000000000003E-2</v>
      </c>
      <c r="W40">
        <v>5.7000000000000002E-2</v>
      </c>
      <c r="X40">
        <v>5.6000000000000001E-2</v>
      </c>
      <c r="Y40">
        <v>5.3999999999999999E-2</v>
      </c>
      <c r="Z40">
        <v>5.2999999999999999E-2</v>
      </c>
      <c r="AA40">
        <v>5.1999999999999998E-2</v>
      </c>
      <c r="AB40">
        <v>5.3999999999999999E-2</v>
      </c>
      <c r="AC40">
        <v>4.4999999999999998E-2</v>
      </c>
    </row>
    <row r="41" spans="3:29">
      <c r="C41">
        <v>7.5999999999999998E-2</v>
      </c>
      <c r="D41">
        <v>0.11</v>
      </c>
      <c r="E41">
        <v>9.9000000000000005E-2</v>
      </c>
      <c r="F41">
        <v>7.0999999999999994E-2</v>
      </c>
      <c r="G41">
        <v>5.8000000000000003E-2</v>
      </c>
      <c r="H41">
        <v>5.1999999999999998E-2</v>
      </c>
      <c r="I41">
        <v>5.2999999999999999E-2</v>
      </c>
      <c r="J41">
        <v>5.1999999999999998E-2</v>
      </c>
      <c r="M41">
        <v>5.1999999999999998E-2</v>
      </c>
      <c r="N41">
        <v>5.2999999999999999E-2</v>
      </c>
      <c r="O41">
        <v>5.1999999999999998E-2</v>
      </c>
      <c r="P41">
        <v>5.8000000000000003E-2</v>
      </c>
      <c r="Q41">
        <v>7.0999999999999994E-2</v>
      </c>
      <c r="R41">
        <v>9.9000000000000005E-2</v>
      </c>
      <c r="S41">
        <v>0.11</v>
      </c>
      <c r="T41">
        <v>7.5999999999999998E-2</v>
      </c>
      <c r="V41">
        <v>7.2999999999999995E-2</v>
      </c>
      <c r="W41">
        <v>5.7000000000000002E-2</v>
      </c>
      <c r="X41">
        <v>6.6000000000000003E-2</v>
      </c>
      <c r="Y41">
        <v>5.7000000000000002E-2</v>
      </c>
      <c r="Z41">
        <v>5.3999999999999999E-2</v>
      </c>
      <c r="AA41">
        <v>6.3E-2</v>
      </c>
      <c r="AB41">
        <v>5.8000000000000003E-2</v>
      </c>
      <c r="AC41">
        <v>4.8000000000000001E-2</v>
      </c>
    </row>
    <row r="42" spans="3:29">
      <c r="C42">
        <v>6.4000000000000001E-2</v>
      </c>
      <c r="D42">
        <v>0.311</v>
      </c>
      <c r="E42">
        <v>0.25900000000000001</v>
      </c>
      <c r="F42">
        <v>0.68200000000000005</v>
      </c>
      <c r="G42">
        <v>0.17699999999999999</v>
      </c>
      <c r="H42">
        <v>0.23799999999999999</v>
      </c>
      <c r="I42">
        <v>0.36199999999999999</v>
      </c>
      <c r="J42">
        <v>0.10199999999999999</v>
      </c>
      <c r="M42">
        <v>0.10199999999999999</v>
      </c>
      <c r="N42">
        <v>0.36199999999999999</v>
      </c>
      <c r="O42">
        <v>0.23799999999999999</v>
      </c>
      <c r="P42">
        <v>0.17699999999999999</v>
      </c>
      <c r="Q42">
        <v>0.68200000000000005</v>
      </c>
      <c r="R42">
        <v>0.25900000000000001</v>
      </c>
      <c r="S42">
        <v>0.311</v>
      </c>
      <c r="T42">
        <v>6.4000000000000001E-2</v>
      </c>
      <c r="V42">
        <f>(V40+V41)/2</f>
        <v>8.4999999999999992E-2</v>
      </c>
      <c r="W42">
        <f>(W40+W41)/2</f>
        <v>5.7000000000000002E-2</v>
      </c>
      <c r="X42">
        <f>(X40+X41)/2</f>
        <v>6.0999999999999999E-2</v>
      </c>
      <c r="Y42">
        <f>(Y40+Y41)/2</f>
        <v>5.5500000000000001E-2</v>
      </c>
      <c r="Z42">
        <f>(Z40+Z41)/2</f>
        <v>5.3499999999999999E-2</v>
      </c>
      <c r="AA42">
        <f>(AA40+AA41)/2</f>
        <v>5.7499999999999996E-2</v>
      </c>
      <c r="AB42">
        <f>(AB40+AB41)/2</f>
        <v>5.6000000000000001E-2</v>
      </c>
      <c r="AC42">
        <f>(AC40+AC41)/2</f>
        <v>4.65E-2</v>
      </c>
    </row>
    <row r="43" spans="3:29">
      <c r="C43">
        <v>6.5000000000000002E-2</v>
      </c>
      <c r="D43">
        <v>0.29699999999999999</v>
      </c>
      <c r="E43">
        <v>0.22800000000000001</v>
      </c>
      <c r="F43">
        <v>0.437</v>
      </c>
      <c r="G43">
        <v>0.82599999999999996</v>
      </c>
      <c r="H43">
        <v>0.21</v>
      </c>
      <c r="I43">
        <v>0.14599999999999999</v>
      </c>
      <c r="J43">
        <v>7.0000000000000007E-2</v>
      </c>
      <c r="M43">
        <v>7.0000000000000007E-2</v>
      </c>
      <c r="N43">
        <v>0.14599999999999999</v>
      </c>
      <c r="O43">
        <v>0.21</v>
      </c>
      <c r="P43">
        <v>0.82599999999999996</v>
      </c>
      <c r="Q43">
        <v>0.437</v>
      </c>
      <c r="R43">
        <v>0.22800000000000001</v>
      </c>
      <c r="S43">
        <v>0.29699999999999999</v>
      </c>
      <c r="T43">
        <v>6.5000000000000002E-2</v>
      </c>
      <c r="V43">
        <f>ABS(V40-V41)</f>
        <v>2.4000000000000007E-2</v>
      </c>
      <c r="W43">
        <f>ABS(W40-W41)</f>
        <v>0</v>
      </c>
      <c r="X43">
        <f>ABS(X40-X41)</f>
        <v>1.0000000000000002E-2</v>
      </c>
      <c r="Y43">
        <f>ABS(Y40-Y41)</f>
        <v>3.0000000000000027E-3</v>
      </c>
      <c r="Z43">
        <f>ABS(Z40-Z41)</f>
        <v>1.0000000000000009E-3</v>
      </c>
      <c r="AA43">
        <f>ABS(AA40-AA41)</f>
        <v>1.1000000000000003E-2</v>
      </c>
      <c r="AB43">
        <f>ABS(AB40-AB41)</f>
        <v>4.0000000000000036E-3</v>
      </c>
      <c r="AC43">
        <f>ABS(AC40-AC41)</f>
        <v>3.0000000000000027E-3</v>
      </c>
    </row>
    <row r="45" spans="3:29">
      <c r="C45">
        <v>1</v>
      </c>
      <c r="D45">
        <v>2</v>
      </c>
      <c r="E45">
        <v>3</v>
      </c>
      <c r="F45">
        <v>4</v>
      </c>
      <c r="G45">
        <v>5</v>
      </c>
      <c r="H45">
        <v>6</v>
      </c>
      <c r="I45">
        <v>7</v>
      </c>
      <c r="J45">
        <v>8</v>
      </c>
      <c r="M45">
        <v>8</v>
      </c>
      <c r="N45">
        <v>7</v>
      </c>
      <c r="O45">
        <v>6</v>
      </c>
      <c r="P45">
        <v>5</v>
      </c>
      <c r="Q45">
        <v>4</v>
      </c>
      <c r="R45">
        <v>3</v>
      </c>
      <c r="S45">
        <v>2</v>
      </c>
      <c r="T45">
        <v>1</v>
      </c>
    </row>
    <row r="46" spans="3:29">
      <c r="C46" cm="1">
        <f t="array" ref="C46:J47">TRANSPOSE(H25:I32)</f>
        <v>4.4999999999999998E-2</v>
      </c>
      <c r="D46">
        <v>5.3999999999999999E-2</v>
      </c>
      <c r="E46">
        <v>5.1999999999999998E-2</v>
      </c>
      <c r="F46">
        <v>5.2999999999999999E-2</v>
      </c>
      <c r="G46">
        <v>5.3999999999999999E-2</v>
      </c>
      <c r="H46">
        <v>5.6000000000000001E-2</v>
      </c>
      <c r="I46">
        <v>5.7000000000000002E-2</v>
      </c>
      <c r="J46">
        <v>9.7000000000000003E-2</v>
      </c>
      <c r="M46">
        <v>9.7000000000000003E-2</v>
      </c>
      <c r="N46">
        <v>5.7000000000000002E-2</v>
      </c>
      <c r="O46">
        <v>5.6000000000000001E-2</v>
      </c>
      <c r="P46">
        <v>5.3999999999999999E-2</v>
      </c>
      <c r="Q46">
        <v>5.2999999999999999E-2</v>
      </c>
      <c r="R46">
        <v>5.1999999999999998E-2</v>
      </c>
      <c r="S46">
        <v>5.3999999999999999E-2</v>
      </c>
      <c r="T46">
        <v>4.4999999999999998E-2</v>
      </c>
    </row>
    <row r="47" spans="3:29">
      <c r="C47">
        <v>4.8000000000000001E-2</v>
      </c>
      <c r="D47">
        <v>5.8000000000000003E-2</v>
      </c>
      <c r="E47">
        <v>6.3E-2</v>
      </c>
      <c r="F47">
        <v>5.3999999999999999E-2</v>
      </c>
      <c r="G47">
        <v>5.7000000000000002E-2</v>
      </c>
      <c r="H47">
        <v>6.6000000000000003E-2</v>
      </c>
      <c r="I47">
        <v>5.7000000000000002E-2</v>
      </c>
      <c r="J47">
        <v>7.2999999999999995E-2</v>
      </c>
      <c r="M47">
        <v>7.2999999999999995E-2</v>
      </c>
      <c r="N47">
        <v>5.7000000000000002E-2</v>
      </c>
      <c r="O47">
        <v>6.6000000000000003E-2</v>
      </c>
      <c r="P47">
        <v>5.7000000000000002E-2</v>
      </c>
      <c r="Q47">
        <v>5.3999999999999999E-2</v>
      </c>
      <c r="R47">
        <v>6.3E-2</v>
      </c>
      <c r="S47">
        <v>5.8000000000000003E-2</v>
      </c>
      <c r="T47">
        <v>4.8000000000000001E-2</v>
      </c>
    </row>
  </sheetData>
  <sortState xmlns:xlrd2="http://schemas.microsoft.com/office/spreadsheetml/2017/richdata2" columnSort="1" ref="M45:T47">
    <sortCondition descending="1" ref="M45:T45"/>
  </sortState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Microsoft Office User</cp:lastModifiedBy>
  <dcterms:created xsi:type="dcterms:W3CDTF">2011-01-18T20:51:17Z</dcterms:created>
  <dcterms:modified xsi:type="dcterms:W3CDTF">2024-12-05T16:20:07Z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