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20" windowWidth="9435" windowHeight="6915"/>
  </bookViews>
  <sheets>
    <sheet name="板 1 - Sheet1" sheetId="1" r:id="rId1"/>
  </sheets>
  <definedNames>
    <definedName name="MethodPointer1">1785934416</definedName>
    <definedName name="MethodPointer2">594</definedName>
  </definedNames>
  <calcPr calcId="124519"/>
</workbook>
</file>

<file path=xl/calcChain.xml><?xml version="1.0" encoding="utf-8"?>
<calcChain xmlns="http://schemas.openxmlformats.org/spreadsheetml/2006/main">
  <c r="Q25" i="1"/>
  <c r="Q24"/>
  <c r="Q18"/>
  <c r="Q19"/>
  <c r="Q20"/>
  <c r="Q21"/>
  <c r="Q22"/>
  <c r="Q23"/>
  <c r="Q17"/>
  <c r="Q27"/>
  <c r="Q28"/>
  <c r="Q29"/>
  <c r="Q30"/>
  <c r="Q31"/>
  <c r="Q32"/>
  <c r="Q26"/>
</calcChain>
</file>

<file path=xl/sharedStrings.xml><?xml version="1.0" encoding="utf-8"?>
<sst xmlns="http://schemas.openxmlformats.org/spreadsheetml/2006/main" count="33" uniqueCount="33">
  <si>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</si>
  <si>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</si>
  <si>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</si>
  <si>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t>C:\Users\biochemistry lab\Desktop\Experiment1.xpt</t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</si>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</sst>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C9E0F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plotArea>
      <c:layout/>
      <c:scatterChart>
        <c:scatterStyle val="smoothMarker"/>
        <c:ser>
          <c:idx val="0"/>
          <c:order val="0"/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yVal>
            <c:numRef>
              <c:f>'板 1 - Sheet1'!$Q$26:$Q$28</c:f>
              <c:numCache>
                <c:formatCode>General</c:formatCode>
                <c:ptCount val="3"/>
                <c:pt idx="0">
                  <c:v>0.14499999999999999</c:v>
                </c:pt>
                <c:pt idx="1">
                  <c:v>0.10250000000000001</c:v>
                </c:pt>
                <c:pt idx="2">
                  <c:v>7.2499999999999995E-2</c:v>
                </c:pt>
              </c:numCache>
            </c:numRef>
          </c:yVal>
          <c:smooth val="1"/>
        </c:ser>
        <c:axId val="183832576"/>
        <c:axId val="97630848"/>
      </c:scatterChart>
      <c:valAx>
        <c:axId val="183832576"/>
        <c:scaling>
          <c:orientation val="minMax"/>
        </c:scaling>
        <c:axPos val="b"/>
        <c:tickLblPos val="nextTo"/>
        <c:crossAx val="97630848"/>
        <c:crosses val="autoZero"/>
        <c:crossBetween val="midCat"/>
      </c:valAx>
      <c:valAx>
        <c:axId val="97630848"/>
        <c:scaling>
          <c:orientation val="minMax"/>
        </c:scaling>
        <c:axPos val="l"/>
        <c:majorGridlines/>
        <c:numFmt formatCode="General" sourceLinked="1"/>
        <c:tickLblPos val="nextTo"/>
        <c:crossAx val="18383257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plotArea>
      <c:layout/>
      <c:scatterChart>
        <c:scatterStyle val="smoothMarker"/>
        <c:ser>
          <c:idx val="0"/>
          <c:order val="0"/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'板 1 - Sheet1'!$P$26:$P$29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0.5</c:v>
                </c:pt>
                <c:pt idx="3">
                  <c:v>0.05</c:v>
                </c:pt>
              </c:numCache>
            </c:numRef>
          </c:xVal>
          <c:yVal>
            <c:numRef>
              <c:f>'板 1 - Sheet1'!$Q$26:$Q$29</c:f>
              <c:numCache>
                <c:formatCode>General</c:formatCode>
                <c:ptCount val="4"/>
                <c:pt idx="0">
                  <c:v>0.14499999999999999</c:v>
                </c:pt>
                <c:pt idx="1">
                  <c:v>0.10250000000000001</c:v>
                </c:pt>
                <c:pt idx="2">
                  <c:v>7.2499999999999995E-2</c:v>
                </c:pt>
                <c:pt idx="3">
                  <c:v>5.7500000000000002E-2</c:v>
                </c:pt>
              </c:numCache>
            </c:numRef>
          </c:yVal>
          <c:smooth val="1"/>
        </c:ser>
        <c:axId val="184436608"/>
        <c:axId val="184421760"/>
      </c:scatterChart>
      <c:valAx>
        <c:axId val="184436608"/>
        <c:scaling>
          <c:orientation val="minMax"/>
        </c:scaling>
        <c:axPos val="b"/>
        <c:numFmt formatCode="General" sourceLinked="1"/>
        <c:tickLblPos val="nextTo"/>
        <c:crossAx val="184421760"/>
        <c:crosses val="autoZero"/>
        <c:crossBetween val="midCat"/>
      </c:valAx>
      <c:valAx>
        <c:axId val="184421760"/>
        <c:scaling>
          <c:orientation val="minMax"/>
        </c:scaling>
        <c:axPos val="l"/>
        <c:majorGridlines/>
        <c:numFmt formatCode="General" sourceLinked="1"/>
        <c:tickLblPos val="nextTo"/>
        <c:crossAx val="18443660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581025</xdr:colOff>
      <xdr:row>19</xdr:row>
      <xdr:rowOff>142875</xdr:rowOff>
    </xdr:from>
    <xdr:to>
      <xdr:col>25</xdr:col>
      <xdr:colOff>276225</xdr:colOff>
      <xdr:row>36</xdr:row>
      <xdr:rowOff>133350</xdr:rowOff>
    </xdr:to>
    <xdr:graphicFrame macro="">
      <xdr:nvGraphicFramePr>
        <xdr:cNvPr id="5" name="图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266700</xdr:colOff>
      <xdr:row>5</xdr:row>
      <xdr:rowOff>28575</xdr:rowOff>
    </xdr:from>
    <xdr:to>
      <xdr:col>13</xdr:col>
      <xdr:colOff>571500</xdr:colOff>
      <xdr:row>22</xdr:row>
      <xdr:rowOff>19050</xdr:rowOff>
    </xdr:to>
    <xdr:graphicFrame macro="">
      <xdr:nvGraphicFramePr>
        <xdr:cNvPr id="6" name="图表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Q32"/>
  <sheetViews>
    <sheetView tabSelected="1" workbookViewId="0">
      <selection activeCell="R17" sqref="R17"/>
    </sheetView>
  </sheetViews>
  <sheetFormatPr defaultRowHeight="12.75"/>
  <cols>
    <col min="1" max="1" width="20.7109375" customWidth="1"/>
    <col min="2" max="2" width="12.7109375" customWidth="1"/>
  </cols>
  <sheetData>
    <row r="2" spans="1:2">
      <c r="A2" s="1" t="s">
        <v>0</v>
      </c>
      <c r="B2" t="s">
        <v>1</v>
      </c>
    </row>
    <row r="4" spans="1:2">
      <c r="A4" s="1" t="s">
        <v>2</v>
      </c>
      <c r="B4" t="s">
        <v>3</v>
      </c>
    </row>
    <row r="5" spans="1:2">
      <c r="A5" s="1" t="s">
        <v>4</v>
      </c>
    </row>
    <row r="6" spans="1:2">
      <c r="A6" s="1" t="s">
        <v>5</v>
      </c>
      <c r="B6" s="1" t="s">
        <v>6</v>
      </c>
    </row>
    <row r="7" spans="1:2">
      <c r="A7" s="1" t="s">
        <v>7</v>
      </c>
      <c r="B7" s="2">
        <v>45613</v>
      </c>
    </row>
    <row r="8" spans="1:2">
      <c r="A8" s="1" t="s">
        <v>8</v>
      </c>
      <c r="B8" s="3">
        <v>0.64858796296296295</v>
      </c>
    </row>
    <row r="9" spans="1:2">
      <c r="A9" s="1" t="s">
        <v>9</v>
      </c>
      <c r="B9" t="s">
        <v>10</v>
      </c>
    </row>
    <row r="10" spans="1:2">
      <c r="A10" s="1" t="s">
        <v>11</v>
      </c>
      <c r="B10">
        <v>19012425</v>
      </c>
    </row>
    <row r="11" spans="1:2">
      <c r="A11" s="1" t="s">
        <v>12</v>
      </c>
      <c r="B11" s="1" t="s">
        <v>13</v>
      </c>
    </row>
    <row r="13" spans="1:2">
      <c r="A13" s="4" t="s">
        <v>14</v>
      </c>
      <c r="B13" s="5"/>
    </row>
    <row r="14" spans="1:2">
      <c r="A14" s="1" t="s">
        <v>15</v>
      </c>
      <c r="B14" t="s">
        <v>16</v>
      </c>
    </row>
    <row r="15" spans="1:2">
      <c r="A15" s="1" t="s">
        <v>17</v>
      </c>
    </row>
    <row r="16" spans="1:2">
      <c r="A16" s="1" t="s">
        <v>18</v>
      </c>
      <c r="B16" s="1" t="s">
        <v>19</v>
      </c>
    </row>
    <row r="17" spans="1:17">
      <c r="B17" s="1" t="s">
        <v>20</v>
      </c>
      <c r="Q17">
        <f>(E25+F25)/2</f>
        <v>6.4500000000000002E-2</v>
      </c>
    </row>
    <row r="18" spans="1:17">
      <c r="B18" s="1" t="s">
        <v>21</v>
      </c>
      <c r="P18">
        <v>10</v>
      </c>
      <c r="Q18">
        <f>(E26+F26)/2</f>
        <v>0.30399999999999999</v>
      </c>
    </row>
    <row r="19" spans="1:17">
      <c r="B19" s="1" t="s">
        <v>22</v>
      </c>
      <c r="P19">
        <v>9</v>
      </c>
      <c r="Q19">
        <f>(E27+F27)/2</f>
        <v>0.24349999999999999</v>
      </c>
    </row>
    <row r="20" spans="1:17">
      <c r="P20">
        <v>8</v>
      </c>
      <c r="Q20">
        <f>(E28+F28)/2</f>
        <v>0.5595</v>
      </c>
    </row>
    <row r="21" spans="1:17">
      <c r="A21" s="4" t="s">
        <v>23</v>
      </c>
      <c r="B21" s="5"/>
      <c r="P21">
        <v>7</v>
      </c>
      <c r="Q21">
        <f>(E29+F29)/2</f>
        <v>0.50149999999999995</v>
      </c>
    </row>
    <row r="22" spans="1:17">
      <c r="A22" s="1" t="s">
        <v>24</v>
      </c>
      <c r="B22">
        <v>22.7</v>
      </c>
      <c r="P22">
        <v>6</v>
      </c>
      <c r="Q22">
        <f>(E30+F30)/2</f>
        <v>0.22399999999999998</v>
      </c>
    </row>
    <row r="23" spans="1:17">
      <c r="P23">
        <v>5</v>
      </c>
      <c r="Q23">
        <f>(E31+F31)/2</f>
        <v>0.254</v>
      </c>
    </row>
    <row r="24" spans="1:17">
      <c r="B24" s="6"/>
      <c r="C24" s="7">
        <v>1</v>
      </c>
      <c r="D24" s="7">
        <v>2</v>
      </c>
      <c r="E24" s="7">
        <v>3</v>
      </c>
      <c r="F24" s="7">
        <v>4</v>
      </c>
      <c r="G24" s="7">
        <v>5</v>
      </c>
      <c r="H24" s="7">
        <v>6</v>
      </c>
      <c r="I24" s="7">
        <v>7</v>
      </c>
      <c r="J24" s="7">
        <v>8</v>
      </c>
      <c r="K24" s="7">
        <v>9</v>
      </c>
      <c r="L24" s="7">
        <v>10</v>
      </c>
      <c r="M24" s="7">
        <v>11</v>
      </c>
      <c r="N24" s="7">
        <v>12</v>
      </c>
      <c r="P24" s="20">
        <v>4</v>
      </c>
      <c r="Q24">
        <f>(E32+F32)/2</f>
        <v>8.5999999999999993E-2</v>
      </c>
    </row>
    <row r="25" spans="1:17">
      <c r="B25" s="7" t="s">
        <v>25</v>
      </c>
      <c r="C25" s="8">
        <v>0.104</v>
      </c>
      <c r="D25" s="8">
        <v>7.5999999999999998E-2</v>
      </c>
      <c r="E25" s="8">
        <v>6.4000000000000001E-2</v>
      </c>
      <c r="F25" s="8">
        <v>6.5000000000000002E-2</v>
      </c>
      <c r="G25" s="9">
        <v>0</v>
      </c>
      <c r="H25" s="9">
        <v>4.4999999999999998E-2</v>
      </c>
      <c r="I25" s="9">
        <v>4.8000000000000001E-2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10">
        <v>560</v>
      </c>
      <c r="P25" s="19">
        <v>3</v>
      </c>
      <c r="Q25">
        <f>(C25+D25)/2</f>
        <v>0.09</v>
      </c>
    </row>
    <row r="26" spans="1:17">
      <c r="B26" s="7" t="s">
        <v>26</v>
      </c>
      <c r="C26" s="11">
        <v>0.18</v>
      </c>
      <c r="D26" s="8">
        <v>0.11</v>
      </c>
      <c r="E26" s="12">
        <v>0.311</v>
      </c>
      <c r="F26" s="12">
        <v>0.29699999999999999</v>
      </c>
      <c r="G26" s="9">
        <v>0</v>
      </c>
      <c r="H26" s="9">
        <v>5.3999999999999999E-2</v>
      </c>
      <c r="I26" s="9">
        <v>5.8000000000000003E-2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10">
        <v>560</v>
      </c>
      <c r="P26" s="19">
        <v>2</v>
      </c>
      <c r="Q26">
        <f>(C26+D26)/2</f>
        <v>0.14499999999999999</v>
      </c>
    </row>
    <row r="27" spans="1:17">
      <c r="B27" s="7" t="s">
        <v>27</v>
      </c>
      <c r="C27" s="8">
        <v>0.106</v>
      </c>
      <c r="D27" s="8">
        <v>9.9000000000000005E-2</v>
      </c>
      <c r="E27" s="13">
        <v>0.25900000000000001</v>
      </c>
      <c r="F27" s="11">
        <v>0.22800000000000001</v>
      </c>
      <c r="G27" s="9">
        <v>0</v>
      </c>
      <c r="H27" s="9">
        <v>5.1999999999999998E-2</v>
      </c>
      <c r="I27" s="8">
        <v>6.3E-2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10">
        <v>560</v>
      </c>
      <c r="P27" s="19">
        <v>1</v>
      </c>
      <c r="Q27">
        <f>(C27+D27)/2</f>
        <v>0.10250000000000001</v>
      </c>
    </row>
    <row r="28" spans="1:17">
      <c r="B28" s="7" t="s">
        <v>28</v>
      </c>
      <c r="C28" s="8">
        <v>7.3999999999999996E-2</v>
      </c>
      <c r="D28" s="8">
        <v>7.0999999999999994E-2</v>
      </c>
      <c r="E28" s="14">
        <v>0.68200000000000005</v>
      </c>
      <c r="F28" s="15">
        <v>0.437</v>
      </c>
      <c r="G28" s="9">
        <v>0</v>
      </c>
      <c r="H28" s="9">
        <v>5.2999999999999999E-2</v>
      </c>
      <c r="I28" s="9">
        <v>5.3999999999999999E-2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10">
        <v>560</v>
      </c>
      <c r="P28" s="19">
        <v>0.5</v>
      </c>
      <c r="Q28">
        <f>(C28+D28)/2</f>
        <v>7.2499999999999995E-2</v>
      </c>
    </row>
    <row r="29" spans="1:17">
      <c r="B29" s="7" t="s">
        <v>29</v>
      </c>
      <c r="C29" s="9">
        <v>5.7000000000000002E-2</v>
      </c>
      <c r="D29" s="9">
        <v>5.8000000000000003E-2</v>
      </c>
      <c r="E29" s="11">
        <v>0.17699999999999999</v>
      </c>
      <c r="F29" s="16">
        <v>0.82599999999999996</v>
      </c>
      <c r="G29" s="9">
        <v>0</v>
      </c>
      <c r="H29" s="9">
        <v>5.3999999999999999E-2</v>
      </c>
      <c r="I29" s="9">
        <v>5.7000000000000002E-2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10">
        <v>560</v>
      </c>
      <c r="P29" s="19">
        <v>0.05</v>
      </c>
      <c r="Q29">
        <f>(C29+D29)/2</f>
        <v>5.7500000000000002E-2</v>
      </c>
    </row>
    <row r="30" spans="1:17">
      <c r="B30" s="7" t="s">
        <v>30</v>
      </c>
      <c r="C30" s="8">
        <v>6.8000000000000005E-2</v>
      </c>
      <c r="D30" s="9">
        <v>5.1999999999999998E-2</v>
      </c>
      <c r="E30" s="13">
        <v>0.23799999999999999</v>
      </c>
      <c r="F30" s="11">
        <v>0.21</v>
      </c>
      <c r="G30" s="9">
        <v>0</v>
      </c>
      <c r="H30" s="9">
        <v>5.6000000000000001E-2</v>
      </c>
      <c r="I30" s="8">
        <v>6.6000000000000003E-2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10">
        <v>560</v>
      </c>
      <c r="P30" s="19">
        <v>5.0000000000000001E-3</v>
      </c>
      <c r="Q30">
        <f>(C30+D30)/2</f>
        <v>0.06</v>
      </c>
    </row>
    <row r="31" spans="1:17">
      <c r="B31" s="7" t="s">
        <v>31</v>
      </c>
      <c r="C31" s="9">
        <v>5.0999999999999997E-2</v>
      </c>
      <c r="D31" s="9">
        <v>5.2999999999999999E-2</v>
      </c>
      <c r="E31" s="17">
        <v>0.36199999999999999</v>
      </c>
      <c r="F31" s="18">
        <v>0.14599999999999999</v>
      </c>
      <c r="G31" s="9">
        <v>0</v>
      </c>
      <c r="H31" s="9">
        <v>5.7000000000000002E-2</v>
      </c>
      <c r="I31" s="9">
        <v>5.7000000000000002E-2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10">
        <v>560</v>
      </c>
      <c r="P31" s="19">
        <v>5.0000000000000001E-4</v>
      </c>
      <c r="Q31">
        <f>(C31+D31)/2</f>
        <v>5.1999999999999998E-2</v>
      </c>
    </row>
    <row r="32" spans="1:17">
      <c r="B32" s="7" t="s">
        <v>32</v>
      </c>
      <c r="C32" s="9">
        <v>5.1999999999999998E-2</v>
      </c>
      <c r="D32" s="9">
        <v>5.1999999999999998E-2</v>
      </c>
      <c r="E32" s="8">
        <v>0.10199999999999999</v>
      </c>
      <c r="F32" s="8">
        <v>7.0000000000000007E-2</v>
      </c>
      <c r="G32" s="9">
        <v>0</v>
      </c>
      <c r="H32" s="8">
        <v>9.7000000000000003E-2</v>
      </c>
      <c r="I32" s="8">
        <v>7.2999999999999995E-2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10">
        <v>560</v>
      </c>
      <c r="P32" s="19">
        <v>0</v>
      </c>
      <c r="Q32">
        <f>(C32+D32)/2</f>
        <v>5.1999999999999998E-2</v>
      </c>
    </row>
  </sheetData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biochemistry lab</cp:lastModifiedBy>
  <dcterms:created xsi:type="dcterms:W3CDTF">2011-01-18T20:51:17Z</dcterms:created>
  <dcterms:modified xsi:type="dcterms:W3CDTF">2024-11-17T09:05:22Z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