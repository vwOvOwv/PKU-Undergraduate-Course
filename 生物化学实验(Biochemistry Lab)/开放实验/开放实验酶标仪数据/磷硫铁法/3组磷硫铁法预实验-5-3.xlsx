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eiyuliu/Desktop/PKU-Undergraduate-Course-Public/生物化学实验(Biochemistry Lab)/开放实验/开放实验酶标仪数据/磷硫铁法/"/>
    </mc:Choice>
  </mc:AlternateContent>
  <xr:revisionPtr revIDLastSave="0" documentId="13_ncr:1_{E56EAD2E-65E1-974F-8124-0FD9BCD4AB31}" xr6:coauthVersionLast="47" xr6:coauthVersionMax="47" xr10:uidLastSave="{00000000-0000-0000-0000-000000000000}"/>
  <bookViews>
    <workbookView xWindow="0" yWindow="760" windowWidth="30240" windowHeight="17800" xr2:uid="{00000000-000D-0000-FFFF-FFFF00000000}"/>
  </bookViews>
  <sheets>
    <sheet name="板 1 - Sheet1" sheetId="1" r:id="rId1"/>
  </sheets>
  <definedNames>
    <definedName name="MethodPointer1">312770464</definedName>
    <definedName name="MethodPointer2">682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U17" i="1" l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2" i="1"/>
  <c r="T17" i="1"/>
</calcChain>
</file>

<file path=xl/sharedStrings.xml><?xml version="1.0" encoding="utf-8"?>
<sst xmlns="http://schemas.openxmlformats.org/spreadsheetml/2006/main" count="41" uniqueCount="33">
  <si>
    <t>软件版本</t>
  </si>
  <si>
    <t>3.05.11</t>
  </si>
  <si>
    <r>
      <t>实验文件路径</t>
    </r>
    <r>
      <rPr>
        <sz val="10"/>
        <rFont val="Arial"/>
        <family val="2"/>
      </rPr>
      <t>:</t>
    </r>
  </si>
  <si>
    <r>
      <t>C:\Users\Public\Documents\Experiments\</t>
    </r>
    <r>
      <rPr>
        <sz val="10"/>
        <rFont val="宋体"/>
        <family val="3"/>
        <charset val="134"/>
      </rPr>
      <t>周五三组预实验</t>
    </r>
    <r>
      <rPr>
        <sz val="10"/>
        <rFont val="Arial"/>
        <family val="2"/>
      </rPr>
      <t xml:space="preserve"> lpy</t>
    </r>
    <r>
      <rPr>
        <sz val="10"/>
        <rFont val="宋体"/>
        <family val="3"/>
        <charset val="134"/>
      </rPr>
      <t>磷硫铁法</t>
    </r>
    <r>
      <rPr>
        <sz val="10"/>
        <rFont val="Arial"/>
        <family val="2"/>
      </rPr>
      <t>-5-3.xpt</t>
    </r>
  </si>
  <si>
    <r>
      <t>方案文件路径</t>
    </r>
    <r>
      <rPr>
        <sz val="10"/>
        <rFont val="Arial"/>
        <family val="2"/>
      </rPr>
      <t>:</t>
    </r>
  </si>
  <si>
    <t>板编号</t>
  </si>
  <si>
    <r>
      <t>板</t>
    </r>
    <r>
      <rPr>
        <sz val="10"/>
        <rFont val="Arial"/>
        <family val="2"/>
      </rPr>
      <t xml:space="preserve"> 1</t>
    </r>
  </si>
  <si>
    <t>日期</t>
  </si>
  <si>
    <t>时间</t>
  </si>
  <si>
    <r>
      <t>检测仪类型</t>
    </r>
    <r>
      <rPr>
        <sz val="10"/>
        <rFont val="Arial"/>
        <family val="2"/>
      </rPr>
      <t>:</t>
    </r>
  </si>
  <si>
    <t>Epoch 2</t>
  </si>
  <si>
    <r>
      <t>检测仪序列号</t>
    </r>
    <r>
      <rPr>
        <sz val="10"/>
        <rFont val="Arial"/>
        <family val="2"/>
      </rPr>
      <t>:</t>
    </r>
  </si>
  <si>
    <t>检测类型</t>
  </si>
  <si>
    <t>检测仪</t>
  </si>
  <si>
    <t>程序详细信息</t>
  </si>
  <si>
    <t>板类型</t>
  </si>
  <si>
    <t>96 WELL PLATE</t>
  </si>
  <si>
    <t>完成后弹出板</t>
  </si>
  <si>
    <t>检测</t>
  </si>
  <si>
    <r>
      <t>吸收光</t>
    </r>
    <r>
      <rPr>
        <sz val="10"/>
        <rFont val="Arial"/>
        <family val="2"/>
      </rPr>
      <t xml:space="preserve"> </t>
    </r>
    <r>
      <rPr>
        <sz val="10"/>
        <rFont val="宋体"/>
        <family val="3"/>
        <charset val="134"/>
      </rPr>
      <t>终点</t>
    </r>
  </si>
  <si>
    <t>全板</t>
  </si>
  <si>
    <r>
      <t>波长</t>
    </r>
    <r>
      <rPr>
        <sz val="10"/>
        <rFont val="Arial"/>
        <family val="2"/>
      </rPr>
      <t>:  560</t>
    </r>
  </si>
  <si>
    <r>
      <t>检测速度</t>
    </r>
    <r>
      <rPr>
        <sz val="10"/>
        <rFont val="Arial"/>
        <family val="2"/>
      </rPr>
      <t xml:space="preserve">: </t>
    </r>
    <r>
      <rPr>
        <sz val="10"/>
        <rFont val="宋体"/>
        <family val="3"/>
        <charset val="134"/>
      </rPr>
      <t>正常</t>
    </r>
    <r>
      <rPr>
        <sz val="10"/>
        <rFont val="Arial"/>
        <family val="2"/>
      </rPr>
      <t xml:space="preserve">,  </t>
    </r>
    <r>
      <rPr>
        <sz val="10"/>
        <rFont val="宋体"/>
        <family val="3"/>
        <charset val="134"/>
      </rPr>
      <t>延迟</t>
    </r>
    <r>
      <rPr>
        <sz val="10"/>
        <rFont val="Arial"/>
        <family val="2"/>
      </rPr>
      <t xml:space="preserve">: 100 msec,  </t>
    </r>
    <r>
      <rPr>
        <sz val="10"/>
        <rFont val="宋体"/>
        <family val="3"/>
        <charset val="134"/>
      </rPr>
      <t>测量值</t>
    </r>
    <r>
      <rPr>
        <sz val="10"/>
        <rFont val="Arial"/>
        <family val="2"/>
      </rPr>
      <t>/</t>
    </r>
    <r>
      <rPr>
        <sz val="10"/>
        <rFont val="宋体"/>
        <family val="3"/>
        <charset val="134"/>
      </rPr>
      <t>数据点</t>
    </r>
    <r>
      <rPr>
        <sz val="10"/>
        <rFont val="Arial"/>
        <family val="2"/>
      </rPr>
      <t>: 8</t>
    </r>
  </si>
  <si>
    <t>结果</t>
  </si>
  <si>
    <r>
      <t>实际温度</t>
    </r>
    <r>
      <rPr>
        <sz val="10"/>
        <rFont val="Arial"/>
        <family val="2"/>
      </rPr>
      <t>:</t>
    </r>
  </si>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</sst>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Arial"/>
      <family val="2"/>
    </font>
    <font>
      <sz val="10"/>
      <name val="宋体"/>
      <family val="3"/>
      <charset val="134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BAD7EF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C9E0F4"/>
        <bgColor indexed="64"/>
      </patternFill>
    </fill>
    <fill>
      <patternFill patternType="solid">
        <fgColor rgb="FF3385C2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5197CC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6FA9D6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9CC5E5"/>
        <bgColor indexed="64"/>
      </patternFill>
    </fill>
    <fill>
      <patternFill patternType="solid">
        <fgColor rgb="FFABCEEA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4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2" borderId="1" xfId="0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N"/>
                </a:p>
              </c:txPr>
            </c:trendlineLbl>
          </c:trendline>
          <c:xVal>
            <c:numRef>
              <c:f>'板 1 - Sheet1'!$S$20:$S$32</c:f>
              <c:numCache>
                <c:formatCode>General</c:formatCode>
                <c:ptCount val="13"/>
                <c:pt idx="0">
                  <c:v>0.14000000000000001</c:v>
                </c:pt>
                <c:pt idx="1">
                  <c:v>0.12</c:v>
                </c:pt>
                <c:pt idx="2">
                  <c:v>0.1</c:v>
                </c:pt>
                <c:pt idx="3">
                  <c:v>0.08</c:v>
                </c:pt>
                <c:pt idx="4">
                  <c:v>0.06</c:v>
                </c:pt>
                <c:pt idx="5">
                  <c:v>0.04</c:v>
                </c:pt>
                <c:pt idx="6">
                  <c:v>0.02</c:v>
                </c:pt>
                <c:pt idx="7">
                  <c:v>0.01</c:v>
                </c:pt>
                <c:pt idx="8">
                  <c:v>8.0000000000000002E-3</c:v>
                </c:pt>
                <c:pt idx="9">
                  <c:v>4.0000000000000001E-3</c:v>
                </c:pt>
                <c:pt idx="10">
                  <c:v>2E-3</c:v>
                </c:pt>
                <c:pt idx="12">
                  <c:v>0</c:v>
                </c:pt>
              </c:numCache>
            </c:numRef>
          </c:xVal>
          <c:yVal>
            <c:numRef>
              <c:f>'板 1 - Sheet1'!$U$20:$U$32</c:f>
              <c:numCache>
                <c:formatCode>General</c:formatCode>
                <c:ptCount val="13"/>
                <c:pt idx="0">
                  <c:v>2.2080000000000002</c:v>
                </c:pt>
                <c:pt idx="1">
                  <c:v>2.0365000000000002</c:v>
                </c:pt>
                <c:pt idx="2">
                  <c:v>1.6745000000000001</c:v>
                </c:pt>
                <c:pt idx="3">
                  <c:v>1.4485000000000001</c:v>
                </c:pt>
                <c:pt idx="4">
                  <c:v>1.145</c:v>
                </c:pt>
                <c:pt idx="5">
                  <c:v>0.62449999999999994</c:v>
                </c:pt>
                <c:pt idx="6">
                  <c:v>0.37</c:v>
                </c:pt>
                <c:pt idx="7">
                  <c:v>0.26350000000000001</c:v>
                </c:pt>
                <c:pt idx="8">
                  <c:v>0.10500000000000001</c:v>
                </c:pt>
                <c:pt idx="9">
                  <c:v>5.8000000000000003E-2</c:v>
                </c:pt>
                <c:pt idx="10">
                  <c:v>2.4500000000000001E-2</c:v>
                </c:pt>
                <c:pt idx="11">
                  <c:v>-5.7000000000000002E-2</c:v>
                </c:pt>
                <c:pt idx="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96-C447-A4F3-C293A88BD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9856416"/>
        <c:axId val="1514132768"/>
      </c:scatterChart>
      <c:valAx>
        <c:axId val="197985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514132768"/>
        <c:crosses val="autoZero"/>
        <c:crossBetween val="midCat"/>
      </c:valAx>
      <c:valAx>
        <c:axId val="151413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979856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628650</xdr:colOff>
      <xdr:row>4</xdr:row>
      <xdr:rowOff>146050</xdr:rowOff>
    </xdr:from>
    <xdr:to>
      <xdr:col>15</xdr:col>
      <xdr:colOff>488950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FD6DC0-AB6D-C54F-828D-8A42AA493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42"/>
  <sheetViews>
    <sheetView tabSelected="1" topLeftCell="A2" workbookViewId="0">
      <selection activeCell="E28" sqref="E28"/>
    </sheetView>
  </sheetViews>
  <sheetFormatPr baseColWidth="10" defaultColWidth="8.83203125" defaultRowHeight="13"/>
  <cols>
    <col min="1" max="1" width="20.6640625" customWidth="1"/>
    <col min="2" max="2" width="12.6640625" customWidth="1"/>
  </cols>
  <sheetData>
    <row r="2" spans="1:2" ht="14">
      <c r="A2" s="1" t="s">
        <v>0</v>
      </c>
      <c r="B2" t="s">
        <v>1</v>
      </c>
    </row>
    <row r="4" spans="1:2" ht="14">
      <c r="A4" s="1" t="s">
        <v>2</v>
      </c>
      <c r="B4" t="s">
        <v>3</v>
      </c>
    </row>
    <row r="5" spans="1:2" ht="14">
      <c r="A5" s="1" t="s">
        <v>4</v>
      </c>
    </row>
    <row r="6" spans="1:2" ht="14">
      <c r="A6" s="1" t="s">
        <v>5</v>
      </c>
      <c r="B6" s="1" t="s">
        <v>6</v>
      </c>
    </row>
    <row r="7" spans="1:2" ht="14">
      <c r="A7" s="1" t="s">
        <v>7</v>
      </c>
      <c r="B7" s="2">
        <v>45625</v>
      </c>
    </row>
    <row r="8" spans="1:2" ht="14">
      <c r="A8" s="1" t="s">
        <v>8</v>
      </c>
      <c r="B8" s="3">
        <v>0.75670138888888883</v>
      </c>
    </row>
    <row r="9" spans="1:2" ht="14">
      <c r="A9" s="1" t="s">
        <v>9</v>
      </c>
      <c r="B9" t="s">
        <v>10</v>
      </c>
    </row>
    <row r="10" spans="1:2" ht="14">
      <c r="A10" s="1" t="s">
        <v>11</v>
      </c>
      <c r="B10">
        <v>19012425</v>
      </c>
    </row>
    <row r="11" spans="1:2" ht="14">
      <c r="A11" s="1" t="s">
        <v>12</v>
      </c>
      <c r="B11" s="1" t="s">
        <v>13</v>
      </c>
    </row>
    <row r="13" spans="1:2" ht="14">
      <c r="A13" s="4" t="s">
        <v>14</v>
      </c>
      <c r="B13" s="5"/>
    </row>
    <row r="14" spans="1:2" ht="14">
      <c r="A14" s="1" t="s">
        <v>15</v>
      </c>
      <c r="B14" t="s">
        <v>16</v>
      </c>
    </row>
    <row r="15" spans="1:2" ht="14">
      <c r="A15" s="1" t="s">
        <v>17</v>
      </c>
    </row>
    <row r="16" spans="1:2" ht="14">
      <c r="A16" s="1" t="s">
        <v>18</v>
      </c>
      <c r="B16" s="1" t="s">
        <v>19</v>
      </c>
    </row>
    <row r="17" spans="1:21" ht="14">
      <c r="B17" s="1" t="s">
        <v>20</v>
      </c>
      <c r="Q17" s="9">
        <v>2.5950000000000002</v>
      </c>
      <c r="R17" s="9">
        <v>2.68</v>
      </c>
      <c r="S17">
        <v>0.2</v>
      </c>
      <c r="T17">
        <f>(Q17+R17)/2</f>
        <v>2.6375000000000002</v>
      </c>
      <c r="U17">
        <f t="shared" ref="U17:U31" si="0">T17-0.057</f>
        <v>2.5805000000000002</v>
      </c>
    </row>
    <row r="18" spans="1:21" ht="14">
      <c r="B18" s="1" t="s">
        <v>21</v>
      </c>
      <c r="Q18" s="13">
        <v>2.44</v>
      </c>
      <c r="R18" s="9">
        <v>2.4889999999999999</v>
      </c>
      <c r="S18">
        <v>0.18</v>
      </c>
      <c r="T18">
        <f t="shared" ref="T18:T32" si="1">(Q18+R18)/2</f>
        <v>2.4645000000000001</v>
      </c>
      <c r="U18">
        <f t="shared" si="0"/>
        <v>2.4075000000000002</v>
      </c>
    </row>
    <row r="19" spans="1:21" ht="14">
      <c r="B19" s="1" t="s">
        <v>22</v>
      </c>
      <c r="Q19" s="13">
        <v>2.4740000000000002</v>
      </c>
      <c r="R19" s="13">
        <v>2.3220000000000001</v>
      </c>
      <c r="S19">
        <v>0.16</v>
      </c>
      <c r="T19">
        <f t="shared" si="1"/>
        <v>2.3980000000000001</v>
      </c>
      <c r="U19">
        <f t="shared" si="0"/>
        <v>2.3410000000000002</v>
      </c>
    </row>
    <row r="20" spans="1:21">
      <c r="Q20" s="13">
        <v>2.3050000000000002</v>
      </c>
      <c r="R20" s="15">
        <v>2.2250000000000001</v>
      </c>
      <c r="S20">
        <v>0.14000000000000001</v>
      </c>
      <c r="T20">
        <f t="shared" si="1"/>
        <v>2.2650000000000001</v>
      </c>
      <c r="U20">
        <f t="shared" si="0"/>
        <v>2.2080000000000002</v>
      </c>
    </row>
    <row r="21" spans="1:21" ht="14">
      <c r="A21" s="4" t="s">
        <v>23</v>
      </c>
      <c r="B21" s="5"/>
      <c r="Q21" s="15">
        <v>2.1280000000000001</v>
      </c>
      <c r="R21" s="17">
        <v>2.0590000000000002</v>
      </c>
      <c r="S21">
        <v>0.12</v>
      </c>
      <c r="T21">
        <f t="shared" si="1"/>
        <v>2.0935000000000001</v>
      </c>
      <c r="U21">
        <f t="shared" si="0"/>
        <v>2.0365000000000002</v>
      </c>
    </row>
    <row r="22" spans="1:21" ht="14">
      <c r="A22" s="1" t="s">
        <v>24</v>
      </c>
      <c r="B22">
        <v>25.1</v>
      </c>
      <c r="Q22" s="18">
        <v>1.7490000000000001</v>
      </c>
      <c r="R22" s="19">
        <v>1.714</v>
      </c>
      <c r="S22">
        <v>0.1</v>
      </c>
      <c r="T22">
        <f t="shared" si="1"/>
        <v>1.7315</v>
      </c>
      <c r="U22">
        <f t="shared" si="0"/>
        <v>1.6745000000000001</v>
      </c>
    </row>
    <row r="23" spans="1:21">
      <c r="Q23" s="20">
        <v>1.466</v>
      </c>
      <c r="R23" s="19">
        <v>1.5449999999999999</v>
      </c>
      <c r="S23">
        <v>0.08</v>
      </c>
      <c r="T23">
        <f t="shared" si="1"/>
        <v>1.5055000000000001</v>
      </c>
      <c r="U23">
        <f t="shared" si="0"/>
        <v>1.4485000000000001</v>
      </c>
    </row>
    <row r="24" spans="1:21">
      <c r="B24" s="6"/>
      <c r="C24" s="7">
        <v>1</v>
      </c>
      <c r="D24" s="7">
        <v>2</v>
      </c>
      <c r="E24" s="7">
        <v>3</v>
      </c>
      <c r="F24" s="7">
        <v>4</v>
      </c>
      <c r="G24" s="7">
        <v>5</v>
      </c>
      <c r="H24" s="7">
        <v>6</v>
      </c>
      <c r="I24" s="7">
        <v>7</v>
      </c>
      <c r="J24" s="7">
        <v>8</v>
      </c>
      <c r="K24" s="7">
        <v>9</v>
      </c>
      <c r="L24" s="7">
        <v>10</v>
      </c>
      <c r="M24" s="7">
        <v>11</v>
      </c>
      <c r="N24" s="7">
        <v>12</v>
      </c>
      <c r="Q24" s="16">
        <v>1.224</v>
      </c>
      <c r="R24" s="16">
        <v>1.18</v>
      </c>
      <c r="S24">
        <v>0.06</v>
      </c>
      <c r="T24">
        <f t="shared" si="1"/>
        <v>1.202</v>
      </c>
      <c r="U24">
        <f t="shared" si="0"/>
        <v>1.145</v>
      </c>
    </row>
    <row r="25" spans="1:21" ht="14">
      <c r="B25" s="7" t="s">
        <v>25</v>
      </c>
      <c r="C25" s="8">
        <v>0.68</v>
      </c>
      <c r="D25" s="8">
        <v>0.68300000000000005</v>
      </c>
      <c r="E25" s="9">
        <v>2.5950000000000002</v>
      </c>
      <c r="F25" s="9">
        <v>2.68</v>
      </c>
      <c r="G25" s="10">
        <v>-3.0000000000000001E-3</v>
      </c>
      <c r="H25" s="10">
        <v>-3.0000000000000001E-3</v>
      </c>
      <c r="I25" s="10">
        <v>0.13200000000000001</v>
      </c>
      <c r="J25" s="10">
        <v>0.16</v>
      </c>
      <c r="K25" s="10">
        <v>4.2000000000000003E-2</v>
      </c>
      <c r="L25" s="10">
        <v>4.5999999999999999E-2</v>
      </c>
      <c r="M25" s="10">
        <v>-3.0000000000000001E-3</v>
      </c>
      <c r="N25" s="10">
        <v>-3.0000000000000001E-3</v>
      </c>
      <c r="O25" s="11">
        <v>560</v>
      </c>
      <c r="Q25" s="8">
        <v>0.68</v>
      </c>
      <c r="R25" s="8">
        <v>0.68300000000000005</v>
      </c>
      <c r="S25">
        <v>0.04</v>
      </c>
      <c r="T25">
        <f t="shared" si="1"/>
        <v>0.68149999999999999</v>
      </c>
      <c r="U25">
        <f t="shared" si="0"/>
        <v>0.62449999999999994</v>
      </c>
    </row>
    <row r="26" spans="1:21" ht="14">
      <c r="B26" s="7" t="s">
        <v>26</v>
      </c>
      <c r="C26" s="12">
        <v>0.46899999999999997</v>
      </c>
      <c r="D26" s="12">
        <v>0.38500000000000001</v>
      </c>
      <c r="E26" s="13">
        <v>2.44</v>
      </c>
      <c r="F26" s="9">
        <v>2.4889999999999999</v>
      </c>
      <c r="G26" s="10">
        <v>-3.0000000000000001E-3</v>
      </c>
      <c r="H26" s="10">
        <v>-3.0000000000000001E-3</v>
      </c>
      <c r="I26" s="14">
        <v>0.224</v>
      </c>
      <c r="J26" s="14">
        <v>0.217</v>
      </c>
      <c r="K26" s="10">
        <v>4.5999999999999999E-2</v>
      </c>
      <c r="L26" s="10">
        <v>4.5999999999999999E-2</v>
      </c>
      <c r="M26" s="10">
        <v>-3.0000000000000001E-3</v>
      </c>
      <c r="N26" s="10">
        <v>-3.0000000000000001E-3</v>
      </c>
      <c r="O26" s="11">
        <v>560</v>
      </c>
      <c r="Q26" s="12">
        <v>0.46899999999999997</v>
      </c>
      <c r="R26" s="12">
        <v>0.38500000000000001</v>
      </c>
      <c r="S26">
        <v>0.02</v>
      </c>
      <c r="T26">
        <f t="shared" si="1"/>
        <v>0.42699999999999999</v>
      </c>
      <c r="U26">
        <f t="shared" si="0"/>
        <v>0.37</v>
      </c>
    </row>
    <row r="27" spans="1:21" ht="14">
      <c r="B27" s="7" t="s">
        <v>27</v>
      </c>
      <c r="C27" s="14">
        <v>0.26300000000000001</v>
      </c>
      <c r="D27" s="14">
        <v>0.378</v>
      </c>
      <c r="E27" s="13">
        <v>2.4740000000000002</v>
      </c>
      <c r="F27" s="13">
        <v>2.3220000000000001</v>
      </c>
      <c r="G27" s="10">
        <v>-3.0000000000000001E-3</v>
      </c>
      <c r="H27" s="10">
        <v>-3.0000000000000001E-3</v>
      </c>
      <c r="I27" s="12">
        <v>0.38300000000000001</v>
      </c>
      <c r="J27" s="12">
        <v>0.4</v>
      </c>
      <c r="K27" s="10">
        <v>0.04</v>
      </c>
      <c r="L27" s="10">
        <v>4.8000000000000001E-2</v>
      </c>
      <c r="M27" s="10">
        <v>-3.0000000000000001E-3</v>
      </c>
      <c r="N27" s="10">
        <v>-3.0000000000000001E-3</v>
      </c>
      <c r="O27" s="11">
        <v>560</v>
      </c>
      <c r="Q27" s="14">
        <v>0.26300000000000001</v>
      </c>
      <c r="R27" s="14">
        <v>0.378</v>
      </c>
      <c r="S27">
        <v>0.01</v>
      </c>
      <c r="T27">
        <f t="shared" si="1"/>
        <v>0.32050000000000001</v>
      </c>
      <c r="U27">
        <f t="shared" si="0"/>
        <v>0.26350000000000001</v>
      </c>
    </row>
    <row r="28" spans="1:21" ht="14">
      <c r="B28" s="7" t="s">
        <v>28</v>
      </c>
      <c r="C28" s="10">
        <v>0.16200000000000001</v>
      </c>
      <c r="D28" s="10">
        <v>0.16200000000000001</v>
      </c>
      <c r="E28" s="13">
        <v>2.3050000000000002</v>
      </c>
      <c r="F28" s="15">
        <v>2.2250000000000001</v>
      </c>
      <c r="G28" s="10">
        <v>-3.0000000000000001E-3</v>
      </c>
      <c r="H28" s="10">
        <v>-3.0000000000000001E-3</v>
      </c>
      <c r="I28" s="16">
        <v>1.3069999999999999</v>
      </c>
      <c r="J28" s="10">
        <v>4.5999999999999999E-2</v>
      </c>
      <c r="K28" s="10">
        <v>3.7999999999999999E-2</v>
      </c>
      <c r="L28" s="10">
        <v>4.2000000000000003E-2</v>
      </c>
      <c r="M28" s="10">
        <v>-3.0000000000000001E-3</v>
      </c>
      <c r="N28" s="10">
        <v>-3.0000000000000001E-3</v>
      </c>
      <c r="O28" s="11">
        <v>560</v>
      </c>
      <c r="Q28" s="10">
        <v>0.16200000000000001</v>
      </c>
      <c r="R28" s="10">
        <v>0.16200000000000001</v>
      </c>
      <c r="S28" s="23">
        <v>8.0000000000000002E-3</v>
      </c>
      <c r="T28">
        <f t="shared" si="1"/>
        <v>0.16200000000000001</v>
      </c>
      <c r="U28">
        <f t="shared" si="0"/>
        <v>0.10500000000000001</v>
      </c>
    </row>
    <row r="29" spans="1:21" ht="14">
      <c r="B29" s="7" t="s">
        <v>29</v>
      </c>
      <c r="C29" s="10">
        <v>0.113</v>
      </c>
      <c r="D29" s="10">
        <v>0.11700000000000001</v>
      </c>
      <c r="E29" s="15">
        <v>2.1280000000000001</v>
      </c>
      <c r="F29" s="17">
        <v>2.0590000000000002</v>
      </c>
      <c r="G29" s="10">
        <v>-3.0000000000000001E-3</v>
      </c>
      <c r="H29" s="10">
        <v>-3.0000000000000001E-3</v>
      </c>
      <c r="I29" s="10">
        <v>3.9E-2</v>
      </c>
      <c r="J29" s="10">
        <v>3.9E-2</v>
      </c>
      <c r="K29" s="10">
        <v>0.122</v>
      </c>
      <c r="L29" s="10">
        <v>0.11</v>
      </c>
      <c r="M29" s="10">
        <v>-3.0000000000000001E-3</v>
      </c>
      <c r="N29" s="10">
        <v>-3.0000000000000001E-3</v>
      </c>
      <c r="O29" s="11">
        <v>560</v>
      </c>
      <c r="Q29" s="10">
        <v>0.113</v>
      </c>
      <c r="R29" s="10">
        <v>0.11700000000000001</v>
      </c>
      <c r="S29" s="23">
        <v>4.0000000000000001E-3</v>
      </c>
      <c r="T29">
        <f t="shared" si="1"/>
        <v>0.115</v>
      </c>
      <c r="U29">
        <f t="shared" si="0"/>
        <v>5.8000000000000003E-2</v>
      </c>
    </row>
    <row r="30" spans="1:21" ht="14">
      <c r="B30" s="7" t="s">
        <v>30</v>
      </c>
      <c r="C30" s="10">
        <v>8.1000000000000003E-2</v>
      </c>
      <c r="D30" s="10">
        <v>8.2000000000000003E-2</v>
      </c>
      <c r="E30" s="18">
        <v>1.7490000000000001</v>
      </c>
      <c r="F30" s="19">
        <v>1.714</v>
      </c>
      <c r="G30" s="10">
        <v>-3.0000000000000001E-3</v>
      </c>
      <c r="H30" s="10">
        <v>-3.0000000000000001E-3</v>
      </c>
      <c r="I30" s="10">
        <v>0.04</v>
      </c>
      <c r="J30" s="10">
        <v>4.5999999999999999E-2</v>
      </c>
      <c r="K30" s="14">
        <v>0.19500000000000001</v>
      </c>
      <c r="L30" s="14">
        <v>0.20100000000000001</v>
      </c>
      <c r="M30" s="10">
        <v>-3.0000000000000001E-3</v>
      </c>
      <c r="N30" s="10">
        <v>-3.0000000000000001E-3</v>
      </c>
      <c r="O30" s="11">
        <v>560</v>
      </c>
      <c r="Q30" s="10">
        <v>8.1000000000000003E-2</v>
      </c>
      <c r="R30" s="10">
        <v>8.2000000000000003E-2</v>
      </c>
      <c r="S30" s="23">
        <v>2E-3</v>
      </c>
      <c r="T30">
        <f t="shared" si="1"/>
        <v>8.1500000000000003E-2</v>
      </c>
      <c r="U30">
        <f t="shared" si="0"/>
        <v>2.4500000000000001E-2</v>
      </c>
    </row>
    <row r="31" spans="1:21" ht="14">
      <c r="B31" s="7" t="s">
        <v>31</v>
      </c>
      <c r="C31" s="10">
        <v>5.6000000000000001E-2</v>
      </c>
      <c r="D31" s="8">
        <v>0.64300000000000002</v>
      </c>
      <c r="E31" s="20">
        <v>1.466</v>
      </c>
      <c r="F31" s="19">
        <v>1.5449999999999999</v>
      </c>
      <c r="G31" s="10">
        <v>-3.0000000000000001E-3</v>
      </c>
      <c r="H31" s="10">
        <v>-3.0000000000000001E-3</v>
      </c>
      <c r="I31" s="10">
        <v>0.122</v>
      </c>
      <c r="J31" s="10">
        <v>0.127</v>
      </c>
      <c r="K31" s="14">
        <v>0.36</v>
      </c>
      <c r="L31" s="14">
        <v>0.34</v>
      </c>
      <c r="M31" s="10">
        <v>-3.0000000000000001E-3</v>
      </c>
      <c r="N31" s="10">
        <v>-3.0000000000000001E-3</v>
      </c>
      <c r="O31" s="11">
        <v>560</v>
      </c>
      <c r="Q31" s="10">
        <v>5.6000000000000001E-2</v>
      </c>
      <c r="R31" s="8">
        <v>0.64300000000000002</v>
      </c>
      <c r="U31">
        <f t="shared" si="0"/>
        <v>-5.7000000000000002E-2</v>
      </c>
    </row>
    <row r="32" spans="1:21" ht="14">
      <c r="B32" s="7" t="s">
        <v>32</v>
      </c>
      <c r="C32" s="10">
        <v>6.4000000000000001E-2</v>
      </c>
      <c r="D32" s="10">
        <v>0.05</v>
      </c>
      <c r="E32" s="16">
        <v>1.224</v>
      </c>
      <c r="F32" s="16">
        <v>1.18</v>
      </c>
      <c r="G32" s="10">
        <v>-3.0000000000000001E-3</v>
      </c>
      <c r="H32" s="10">
        <v>-3.0000000000000001E-3</v>
      </c>
      <c r="I32" s="14">
        <v>0.31900000000000001</v>
      </c>
      <c r="J32" s="14">
        <v>0.29499999999999998</v>
      </c>
      <c r="K32" s="16">
        <v>1.304</v>
      </c>
      <c r="L32" s="20">
        <v>1.365</v>
      </c>
      <c r="M32" s="10">
        <v>-3.0000000000000001E-3</v>
      </c>
      <c r="N32" s="10">
        <v>-3.0000000000000001E-3</v>
      </c>
      <c r="O32" s="11">
        <v>560</v>
      </c>
      <c r="Q32" s="10">
        <v>6.4000000000000001E-2</v>
      </c>
      <c r="R32" s="10">
        <v>0.05</v>
      </c>
      <c r="S32" s="23">
        <v>0</v>
      </c>
      <c r="T32">
        <f t="shared" si="1"/>
        <v>5.7000000000000002E-2</v>
      </c>
      <c r="U32">
        <f>T32-0.057</f>
        <v>0</v>
      </c>
    </row>
    <row r="34" spans="1:14">
      <c r="A34" s="6"/>
      <c r="B34" s="7">
        <v>1</v>
      </c>
      <c r="C34" s="7">
        <v>2</v>
      </c>
      <c r="D34" s="7">
        <v>3</v>
      </c>
      <c r="E34" s="7">
        <v>4</v>
      </c>
      <c r="F34" s="7">
        <v>5</v>
      </c>
      <c r="G34" s="7">
        <v>6</v>
      </c>
      <c r="H34" s="7">
        <v>7</v>
      </c>
      <c r="I34" s="7">
        <v>8</v>
      </c>
      <c r="J34" s="7">
        <v>9</v>
      </c>
      <c r="K34" s="7">
        <v>10</v>
      </c>
      <c r="L34" s="7">
        <v>11</v>
      </c>
      <c r="M34" s="7">
        <v>12</v>
      </c>
    </row>
    <row r="35" spans="1:14" ht="14">
      <c r="A35" s="7" t="s">
        <v>25</v>
      </c>
      <c r="B35" s="10">
        <v>0.08</v>
      </c>
      <c r="C35" s="10">
        <v>7.4999999999999997E-2</v>
      </c>
      <c r="D35" s="21">
        <v>0.80500000000000005</v>
      </c>
      <c r="E35" s="14">
        <v>0.25800000000000001</v>
      </c>
      <c r="F35" s="12">
        <v>0.308</v>
      </c>
      <c r="G35" s="14">
        <v>0.22600000000000001</v>
      </c>
      <c r="H35" s="14">
        <v>0.21199999999999999</v>
      </c>
      <c r="I35" s="21">
        <v>0.77600000000000002</v>
      </c>
      <c r="J35" s="10">
        <v>-2E-3</v>
      </c>
      <c r="K35" s="10">
        <v>-2E-3</v>
      </c>
      <c r="L35" s="10">
        <v>-2E-3</v>
      </c>
      <c r="M35" s="10">
        <v>-2E-3</v>
      </c>
      <c r="N35" s="11">
        <v>500</v>
      </c>
    </row>
    <row r="36" spans="1:14" ht="14">
      <c r="A36" s="7" t="s">
        <v>26</v>
      </c>
      <c r="B36" s="14">
        <v>0.23899999999999999</v>
      </c>
      <c r="C36" s="14">
        <v>0.22500000000000001</v>
      </c>
      <c r="D36" s="22">
        <v>0.65</v>
      </c>
      <c r="E36" s="8">
        <v>0.41599999999999998</v>
      </c>
      <c r="F36" s="12">
        <v>0.372</v>
      </c>
      <c r="G36" s="14">
        <v>0.219</v>
      </c>
      <c r="H36" s="14">
        <v>0.193</v>
      </c>
      <c r="I36" s="21">
        <v>0.74099999999999999</v>
      </c>
      <c r="J36" s="10">
        <v>-2E-3</v>
      </c>
      <c r="K36" s="10">
        <v>-2E-3</v>
      </c>
      <c r="L36" s="10">
        <v>-2E-3</v>
      </c>
      <c r="M36" s="10">
        <v>-2E-3</v>
      </c>
      <c r="N36" s="11">
        <v>500</v>
      </c>
    </row>
    <row r="37" spans="1:14" ht="14">
      <c r="A37" s="7" t="s">
        <v>27</v>
      </c>
      <c r="B37" s="12">
        <v>0.36299999999999999</v>
      </c>
      <c r="C37" s="12">
        <v>0.35</v>
      </c>
      <c r="D37" s="22">
        <v>0.67100000000000004</v>
      </c>
      <c r="E37" s="21">
        <v>0.72099999999999997</v>
      </c>
      <c r="F37" s="22">
        <v>0.66600000000000004</v>
      </c>
      <c r="G37" s="12">
        <v>0.29399999999999998</v>
      </c>
      <c r="H37" s="14">
        <v>0.191</v>
      </c>
      <c r="I37" s="21">
        <v>0.746</v>
      </c>
      <c r="J37" s="10">
        <v>-2E-3</v>
      </c>
      <c r="K37" s="10">
        <v>-2E-3</v>
      </c>
      <c r="L37" s="10">
        <v>-2E-3</v>
      </c>
      <c r="M37" s="10">
        <v>-2E-3</v>
      </c>
      <c r="N37" s="11">
        <v>500</v>
      </c>
    </row>
    <row r="38" spans="1:14" ht="14">
      <c r="A38" s="7" t="s">
        <v>28</v>
      </c>
      <c r="B38" s="22">
        <v>0.64700000000000002</v>
      </c>
      <c r="C38" s="22">
        <v>0.61299999999999999</v>
      </c>
      <c r="D38" s="21">
        <v>0.749</v>
      </c>
      <c r="E38" s="21">
        <v>0.68700000000000006</v>
      </c>
      <c r="F38" s="20">
        <v>1.022</v>
      </c>
      <c r="G38" s="14">
        <v>0.19400000000000001</v>
      </c>
      <c r="H38" s="14">
        <v>0.20100000000000001</v>
      </c>
      <c r="I38" s="21">
        <v>0.69599999999999995</v>
      </c>
      <c r="J38" s="10">
        <v>-2E-3</v>
      </c>
      <c r="K38" s="10">
        <v>-2E-3</v>
      </c>
      <c r="L38" s="10">
        <v>-2E-3</v>
      </c>
      <c r="M38" s="10">
        <v>-2E-3</v>
      </c>
      <c r="N38" s="11">
        <v>500</v>
      </c>
    </row>
    <row r="39" spans="1:14" ht="14">
      <c r="A39" s="7" t="s">
        <v>29</v>
      </c>
      <c r="B39" s="16">
        <v>0.84499999999999997</v>
      </c>
      <c r="C39" s="16">
        <v>0.81499999999999995</v>
      </c>
      <c r="D39" s="22">
        <v>0.67</v>
      </c>
      <c r="E39" s="18">
        <v>1.274</v>
      </c>
      <c r="F39" s="19">
        <v>1.196</v>
      </c>
      <c r="G39" s="14">
        <v>0.182</v>
      </c>
      <c r="H39" s="14">
        <v>0.16600000000000001</v>
      </c>
      <c r="I39" s="22">
        <v>0.61699999999999999</v>
      </c>
      <c r="J39" s="10">
        <v>-2E-3</v>
      </c>
      <c r="K39" s="10">
        <v>-2E-3</v>
      </c>
      <c r="L39" s="10">
        <v>-2E-3</v>
      </c>
      <c r="M39" s="10">
        <v>-2E-3</v>
      </c>
      <c r="N39" s="11">
        <v>500</v>
      </c>
    </row>
    <row r="40" spans="1:14" ht="14">
      <c r="A40" s="7" t="s">
        <v>30</v>
      </c>
      <c r="B40" s="20">
        <v>1.0189999999999999</v>
      </c>
      <c r="C40" s="20">
        <v>1.02</v>
      </c>
      <c r="D40" s="21">
        <v>0.74299999999999999</v>
      </c>
      <c r="E40" s="17">
        <v>1.4650000000000001</v>
      </c>
      <c r="F40" s="17">
        <v>1.4219999999999999</v>
      </c>
      <c r="G40" s="14">
        <v>0.20799999999999999</v>
      </c>
      <c r="H40" s="14">
        <v>0.21099999999999999</v>
      </c>
      <c r="I40" s="21">
        <v>0.76300000000000001</v>
      </c>
      <c r="J40" s="10">
        <v>-2E-3</v>
      </c>
      <c r="K40" s="10">
        <v>-2E-3</v>
      </c>
      <c r="L40" s="10">
        <v>-2E-3</v>
      </c>
      <c r="M40" s="10">
        <v>-2E-3</v>
      </c>
      <c r="N40" s="11">
        <v>500</v>
      </c>
    </row>
    <row r="41" spans="1:14" ht="14">
      <c r="A41" s="7" t="s">
        <v>31</v>
      </c>
      <c r="B41" s="18">
        <v>1.248</v>
      </c>
      <c r="C41" s="20">
        <v>1.042</v>
      </c>
      <c r="D41" s="10">
        <v>4.9000000000000002E-2</v>
      </c>
      <c r="E41" s="13">
        <v>1.706</v>
      </c>
      <c r="F41" s="9">
        <v>1.899</v>
      </c>
      <c r="G41" s="10">
        <v>4.5999999999999999E-2</v>
      </c>
      <c r="H41" s="10">
        <v>4.7E-2</v>
      </c>
      <c r="I41" s="10">
        <v>4.5999999999999999E-2</v>
      </c>
      <c r="J41" s="10">
        <v>-2E-3</v>
      </c>
      <c r="K41" s="10">
        <v>-2E-3</v>
      </c>
      <c r="L41" s="10">
        <v>-2E-3</v>
      </c>
      <c r="M41" s="10">
        <v>-2E-3</v>
      </c>
      <c r="N41" s="11">
        <v>500</v>
      </c>
    </row>
    <row r="42" spans="1:14" ht="14">
      <c r="A42" s="7" t="s">
        <v>32</v>
      </c>
      <c r="B42" s="19">
        <v>1.1279999999999999</v>
      </c>
      <c r="C42" s="17">
        <v>1.4770000000000001</v>
      </c>
      <c r="D42" s="10">
        <v>4.9000000000000002E-2</v>
      </c>
      <c r="E42" s="10">
        <v>7.2999999999999995E-2</v>
      </c>
      <c r="F42" s="10">
        <v>7.3999999999999996E-2</v>
      </c>
      <c r="G42" s="10">
        <v>4.4999999999999998E-2</v>
      </c>
      <c r="H42" s="10">
        <v>4.5999999999999999E-2</v>
      </c>
      <c r="I42" s="10">
        <v>4.4999999999999998E-2</v>
      </c>
      <c r="J42" s="10">
        <v>-2E-3</v>
      </c>
      <c r="K42" s="10">
        <v>-2E-3</v>
      </c>
      <c r="L42" s="10">
        <v>-2E-3</v>
      </c>
      <c r="M42" s="10">
        <v>-2E-3</v>
      </c>
      <c r="N42" s="11">
        <v>500</v>
      </c>
    </row>
  </sheetData>
  <phoneticPr fontId="0" type="noConversion"/>
  <pageMargins left="0.75" right="0.75" top="1" bottom="1" header="0.5" footer="0.5"/>
  <pageSetup paperSize="256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板 1 -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biochemistry lab</dc:creator>
  <cp:lastModifiedBy>Microsoft Office User</cp:lastModifiedBy>
  <dcterms:created xsi:type="dcterms:W3CDTF">2011-01-18T20:51:17Z</dcterms:created>
  <dcterms:modified xsi:type="dcterms:W3CDTF">2024-12-04T08:00:43Z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12.0</vt:lpwstr>
  </property>
</Properties>
</file>