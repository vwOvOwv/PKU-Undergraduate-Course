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"/>
    </mc:Choice>
  </mc:AlternateContent>
  <xr:revisionPtr revIDLastSave="0" documentId="8_{9EF409E0-B097-FA4D-AF0F-4FEFC60457A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578616160</definedName>
    <definedName name="MethodPointer2">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5" i="1" l="1"/>
  <c r="Q26" i="1"/>
  <c r="Q27" i="1"/>
  <c r="Q28" i="1"/>
  <c r="Q29" i="1"/>
  <c r="Q30" i="1"/>
  <c r="Q31" i="1"/>
  <c r="Q32" i="1"/>
  <c r="Q34" i="1"/>
  <c r="Q35" i="1"/>
  <c r="Q36" i="1"/>
  <c r="Q37" i="1"/>
  <c r="Q38" i="1"/>
  <c r="Q39" i="1"/>
  <c r="Q40" i="1"/>
  <c r="Q33" i="1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<sst xmlns="http://schemas.openxmlformats.org/spreadsheetml/2006/main" count="33" uniqueCount="33">
  <si>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</si>
  <si>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</si>
  <si>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</si>
  <si>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胆固醇磷硫铁法预实验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</si>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</sst>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'板 1 - Sheet1'!$P$34:$P$37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0.05</c:v>
                </c:pt>
              </c:numCache>
            </c:numRef>
          </c:xVal>
          <c:yVal>
            <c:numRef>
              <c:f>'板 1 - Sheet1'!$Q$34:$Q$37</c:f>
              <c:numCache>
                <c:formatCode>General</c:formatCode>
                <c:ptCount val="4"/>
                <c:pt idx="0">
                  <c:v>0.10400000000000001</c:v>
                </c:pt>
                <c:pt idx="1">
                  <c:v>8.3999999999999991E-2</c:v>
                </c:pt>
                <c:pt idx="2">
                  <c:v>7.0000000000000007E-2</c:v>
                </c:pt>
                <c:pt idx="3">
                  <c:v>5.5999999999999994E-2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82-1240-835E-51CA208CA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478512"/>
        <c:axId val="525500656"/>
      </c:scatterChart>
      <c:valAx>
        <c:axId val="52547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25500656"/>
        <c:crosses val="autoZero"/>
        <c:crossBetween val="midCat"/>
      </c:valAx>
      <c:valAx>
        <c:axId val="52550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2547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4</xdr:row>
      <xdr:rowOff>114300</xdr:rowOff>
    </xdr:from>
    <xdr:to>
      <xdr:col>17</xdr:col>
      <xdr:colOff>114300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5CC05-6A19-394D-9BE0-DDC368192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0"/>
  <sheetViews>
    <sheetView tabSelected="1" workbookViewId="0">
      <selection activeCell="P26" sqref="P26:Q40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" ht="14">
      <c r="A2" s="1" t="s">
        <v>0</v>
      </c>
      <c r="B2" t="s">
        <v>1</v>
      </c>
    </row>
    <row r="4" spans="1:2" ht="14">
      <c r="A4" s="1" t="s">
        <v>2</v>
      </c>
      <c r="B4" t="s">
        <v>3</v>
      </c>
    </row>
    <row r="5" spans="1:2" ht="14">
      <c r="A5" s="1" t="s">
        <v>4</v>
      </c>
    </row>
    <row r="6" spans="1:2" ht="14">
      <c r="A6" s="1" t="s">
        <v>5</v>
      </c>
      <c r="B6" s="1" t="s">
        <v>6</v>
      </c>
    </row>
    <row r="7" spans="1:2" ht="14">
      <c r="A7" s="1" t="s">
        <v>7</v>
      </c>
      <c r="B7" s="2">
        <v>45611</v>
      </c>
    </row>
    <row r="8" spans="1:2" ht="14">
      <c r="A8" s="1" t="s">
        <v>8</v>
      </c>
      <c r="B8" s="3">
        <v>0.73854166666666676</v>
      </c>
    </row>
    <row r="9" spans="1:2" ht="14">
      <c r="A9" s="1" t="s">
        <v>9</v>
      </c>
      <c r="B9" t="s">
        <v>10</v>
      </c>
    </row>
    <row r="10" spans="1:2" ht="14">
      <c r="A10" s="1" t="s">
        <v>11</v>
      </c>
      <c r="B10">
        <v>19012425</v>
      </c>
    </row>
    <row r="11" spans="1:2" ht="14">
      <c r="A11" s="1" t="s">
        <v>12</v>
      </c>
      <c r="B11" s="1" t="s">
        <v>13</v>
      </c>
    </row>
    <row r="13" spans="1:2" ht="14">
      <c r="A13" s="4" t="s">
        <v>14</v>
      </c>
      <c r="B13" s="5"/>
    </row>
    <row r="14" spans="1:2" ht="14">
      <c r="A14" s="1" t="s">
        <v>15</v>
      </c>
      <c r="B14" t="s">
        <v>16</v>
      </c>
    </row>
    <row r="15" spans="1:2" ht="14">
      <c r="A15" s="1" t="s">
        <v>17</v>
      </c>
    </row>
    <row r="16" spans="1:2" ht="14">
      <c r="A16" s="1" t="s">
        <v>18</v>
      </c>
      <c r="B16" s="1" t="s">
        <v>19</v>
      </c>
    </row>
    <row r="17" spans="1:17" ht="14">
      <c r="B17" s="1" t="s">
        <v>20</v>
      </c>
    </row>
    <row r="18" spans="1:17" ht="14">
      <c r="B18" s="1" t="s">
        <v>21</v>
      </c>
    </row>
    <row r="19" spans="1:17" ht="14">
      <c r="B19" s="1" t="s">
        <v>22</v>
      </c>
    </row>
    <row r="21" spans="1:17" ht="14">
      <c r="A21" s="4" t="s">
        <v>23</v>
      </c>
      <c r="B21" s="5"/>
    </row>
    <row r="22" spans="1:17" ht="14">
      <c r="A22" s="1" t="s">
        <v>24</v>
      </c>
      <c r="B22">
        <v>23.9</v>
      </c>
    </row>
    <row r="24" spans="1:17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7" ht="14">
      <c r="B25" s="7" t="s">
        <v>25</v>
      </c>
      <c r="C25" s="8">
        <v>0.10199999999999999</v>
      </c>
      <c r="D25" s="8">
        <v>9.9000000000000005E-2</v>
      </c>
      <c r="E25" s="9">
        <v>0.05</v>
      </c>
      <c r="F25" s="9">
        <v>5.0999999999999997E-2</v>
      </c>
      <c r="G25" s="9">
        <v>4.4999999999999998E-2</v>
      </c>
      <c r="H25" s="9">
        <v>4.5999999999999999E-2</v>
      </c>
      <c r="I25" s="9">
        <v>5.2999999999999999E-2</v>
      </c>
      <c r="J25" s="9">
        <v>0.05</v>
      </c>
      <c r="K25" s="9">
        <v>4.5999999999999999E-2</v>
      </c>
      <c r="L25" s="9">
        <v>4.5999999999999999E-2</v>
      </c>
      <c r="M25" s="9">
        <v>5.0999999999999997E-2</v>
      </c>
      <c r="N25" s="10">
        <v>6.6000000000000003E-2</v>
      </c>
      <c r="O25" s="11">
        <v>560</v>
      </c>
      <c r="Q25">
        <f>(E25+F25)/2</f>
        <v>5.0500000000000003E-2</v>
      </c>
    </row>
    <row r="26" spans="1:17" ht="14">
      <c r="B26" s="7" t="s">
        <v>26</v>
      </c>
      <c r="C26" s="12">
        <v>8.5000000000000006E-2</v>
      </c>
      <c r="D26" s="13">
        <v>0.123</v>
      </c>
      <c r="E26" s="14">
        <v>0.25600000000000001</v>
      </c>
      <c r="F26" s="15">
        <v>0.246</v>
      </c>
      <c r="G26" s="9">
        <v>4.4999999999999998E-2</v>
      </c>
      <c r="H26" s="9">
        <v>4.5999999999999999E-2</v>
      </c>
      <c r="I26" s="9">
        <v>4.7E-2</v>
      </c>
      <c r="J26" s="9">
        <v>5.0999999999999997E-2</v>
      </c>
      <c r="K26" s="9">
        <v>4.8000000000000001E-2</v>
      </c>
      <c r="L26" s="9">
        <v>4.5999999999999999E-2</v>
      </c>
      <c r="M26" s="9">
        <v>4.8000000000000001E-2</v>
      </c>
      <c r="N26" s="10">
        <v>7.5999999999999998E-2</v>
      </c>
      <c r="O26" s="11">
        <v>560</v>
      </c>
      <c r="P26" s="21">
        <v>10</v>
      </c>
      <c r="Q26">
        <f t="shared" ref="Q26:Q32" si="0">(E26+F26)/2</f>
        <v>0.251</v>
      </c>
    </row>
    <row r="27" spans="1:17" ht="14">
      <c r="B27" s="7" t="s">
        <v>27</v>
      </c>
      <c r="C27" s="12">
        <v>8.6999999999999994E-2</v>
      </c>
      <c r="D27" s="12">
        <v>8.1000000000000003E-2</v>
      </c>
      <c r="E27" s="13">
        <v>0.115</v>
      </c>
      <c r="F27" s="14">
        <v>0.26600000000000001</v>
      </c>
      <c r="G27" s="9">
        <v>0.05</v>
      </c>
      <c r="H27" s="9">
        <v>4.9000000000000002E-2</v>
      </c>
      <c r="I27" s="9">
        <v>4.5999999999999999E-2</v>
      </c>
      <c r="J27" s="9">
        <v>5.2999999999999999E-2</v>
      </c>
      <c r="K27" s="9">
        <v>4.8000000000000001E-2</v>
      </c>
      <c r="L27" s="9">
        <v>4.5999999999999999E-2</v>
      </c>
      <c r="M27" s="9">
        <v>4.5999999999999999E-2</v>
      </c>
      <c r="N27" s="9">
        <v>5.5E-2</v>
      </c>
      <c r="O27" s="11">
        <v>560</v>
      </c>
      <c r="P27" s="21">
        <v>9</v>
      </c>
      <c r="Q27">
        <f t="shared" si="0"/>
        <v>0.1905</v>
      </c>
    </row>
    <row r="28" spans="1:17" ht="14">
      <c r="B28" s="7" t="s">
        <v>28</v>
      </c>
      <c r="C28" s="10">
        <v>7.3999999999999996E-2</v>
      </c>
      <c r="D28" s="10">
        <v>6.6000000000000003E-2</v>
      </c>
      <c r="E28" s="16">
        <v>0.15</v>
      </c>
      <c r="F28" s="17">
        <v>0.21299999999999999</v>
      </c>
      <c r="G28" s="10">
        <v>6.3E-2</v>
      </c>
      <c r="H28" s="9">
        <v>5.0999999999999997E-2</v>
      </c>
      <c r="I28" s="9">
        <v>5.0999999999999997E-2</v>
      </c>
      <c r="J28" s="10">
        <v>6.6000000000000003E-2</v>
      </c>
      <c r="K28" s="9">
        <v>5.7000000000000002E-2</v>
      </c>
      <c r="L28" s="9">
        <v>5.0999999999999997E-2</v>
      </c>
      <c r="M28" s="9">
        <v>5.1999999999999998E-2</v>
      </c>
      <c r="N28" s="9">
        <v>5.5E-2</v>
      </c>
      <c r="O28" s="11">
        <v>560</v>
      </c>
      <c r="P28" s="21">
        <v>8</v>
      </c>
      <c r="Q28">
        <f t="shared" si="0"/>
        <v>0.18149999999999999</v>
      </c>
    </row>
    <row r="29" spans="1:17" ht="14">
      <c r="B29" s="7" t="s">
        <v>29</v>
      </c>
      <c r="C29" s="9">
        <v>5.8999999999999997E-2</v>
      </c>
      <c r="D29" s="9">
        <v>5.2999999999999999E-2</v>
      </c>
      <c r="E29" s="18">
        <v>0.16500000000000001</v>
      </c>
      <c r="F29" s="17">
        <v>0.21199999999999999</v>
      </c>
      <c r="G29" s="10">
        <v>6.2E-2</v>
      </c>
      <c r="H29" s="9">
        <v>5.1999999999999998E-2</v>
      </c>
      <c r="I29" s="9">
        <v>0.05</v>
      </c>
      <c r="J29" s="9">
        <v>5.3999999999999999E-2</v>
      </c>
      <c r="K29" s="9">
        <v>5.3999999999999999E-2</v>
      </c>
      <c r="L29" s="9">
        <v>5.2999999999999999E-2</v>
      </c>
      <c r="M29" s="9">
        <v>0.05</v>
      </c>
      <c r="N29" s="9">
        <v>5.6000000000000001E-2</v>
      </c>
      <c r="O29" s="11">
        <v>560</v>
      </c>
      <c r="P29" s="21">
        <v>7</v>
      </c>
      <c r="Q29">
        <f t="shared" si="0"/>
        <v>0.1885</v>
      </c>
    </row>
    <row r="30" spans="1:17" ht="14">
      <c r="B30" s="7" t="s">
        <v>30</v>
      </c>
      <c r="C30" s="9">
        <v>4.9000000000000002E-2</v>
      </c>
      <c r="D30" s="9">
        <v>5.6000000000000001E-2</v>
      </c>
      <c r="E30" s="19">
        <v>0.223</v>
      </c>
      <c r="F30" s="18">
        <v>0.17100000000000001</v>
      </c>
      <c r="G30" s="9">
        <v>5.2999999999999999E-2</v>
      </c>
      <c r="H30" s="9">
        <v>4.9000000000000002E-2</v>
      </c>
      <c r="I30" s="9">
        <v>5.7000000000000002E-2</v>
      </c>
      <c r="J30" s="9">
        <v>5.2999999999999999E-2</v>
      </c>
      <c r="K30" s="9">
        <v>5.3999999999999999E-2</v>
      </c>
      <c r="L30" s="9">
        <v>5.2999999999999999E-2</v>
      </c>
      <c r="M30" s="9">
        <v>5.0999999999999997E-2</v>
      </c>
      <c r="N30" s="9">
        <v>5.5E-2</v>
      </c>
      <c r="O30" s="11">
        <v>560</v>
      </c>
      <c r="P30" s="21">
        <v>6</v>
      </c>
      <c r="Q30">
        <f t="shared" si="0"/>
        <v>0.19700000000000001</v>
      </c>
    </row>
    <row r="31" spans="1:17" ht="14">
      <c r="B31" s="7" t="s">
        <v>31</v>
      </c>
      <c r="C31" s="9">
        <v>5.0999999999999997E-2</v>
      </c>
      <c r="D31" s="9">
        <v>5.0999999999999997E-2</v>
      </c>
      <c r="E31" s="16">
        <v>0.15</v>
      </c>
      <c r="F31" s="13">
        <v>0.11899999999999999</v>
      </c>
      <c r="G31" s="10">
        <v>6.4000000000000001E-2</v>
      </c>
      <c r="H31" s="9">
        <v>0.05</v>
      </c>
      <c r="I31" s="9">
        <v>5.0999999999999997E-2</v>
      </c>
      <c r="J31" s="9">
        <v>5.7000000000000002E-2</v>
      </c>
      <c r="K31" s="9">
        <v>5.3999999999999999E-2</v>
      </c>
      <c r="L31" s="9">
        <v>5.1999999999999998E-2</v>
      </c>
      <c r="M31" s="9">
        <v>5.0999999999999997E-2</v>
      </c>
      <c r="N31" s="9">
        <v>5.1999999999999998E-2</v>
      </c>
      <c r="O31" s="11">
        <v>560</v>
      </c>
      <c r="P31" s="21">
        <v>5</v>
      </c>
      <c r="Q31">
        <f t="shared" si="0"/>
        <v>0.13450000000000001</v>
      </c>
    </row>
    <row r="32" spans="1:17" ht="14">
      <c r="B32" s="7" t="s">
        <v>32</v>
      </c>
      <c r="C32" s="9">
        <v>4.8000000000000001E-2</v>
      </c>
      <c r="D32" s="9">
        <v>0.05</v>
      </c>
      <c r="E32" s="20">
        <v>0.13300000000000001</v>
      </c>
      <c r="F32" s="20">
        <v>0.13400000000000001</v>
      </c>
      <c r="G32" s="9">
        <v>5.3999999999999999E-2</v>
      </c>
      <c r="H32" s="9">
        <v>0.05</v>
      </c>
      <c r="I32" s="9">
        <v>5.1999999999999998E-2</v>
      </c>
      <c r="J32" s="9">
        <v>5.6000000000000001E-2</v>
      </c>
      <c r="K32" s="9">
        <v>5.3999999999999999E-2</v>
      </c>
      <c r="L32" s="9">
        <v>4.9000000000000002E-2</v>
      </c>
      <c r="M32" s="9">
        <v>5.0999999999999997E-2</v>
      </c>
      <c r="N32" s="9">
        <v>5.5E-2</v>
      </c>
      <c r="O32" s="11">
        <v>560</v>
      </c>
      <c r="P32" s="21">
        <v>4</v>
      </c>
      <c r="Q32">
        <f t="shared" si="0"/>
        <v>0.13350000000000001</v>
      </c>
    </row>
    <row r="33" spans="16:17">
      <c r="P33">
        <v>3</v>
      </c>
      <c r="Q33">
        <f>(C25+D25)/2</f>
        <v>0.10050000000000001</v>
      </c>
    </row>
    <row r="34" spans="16:17">
      <c r="P34">
        <v>2</v>
      </c>
      <c r="Q34">
        <f>(C26+D26)/2</f>
        <v>0.10400000000000001</v>
      </c>
    </row>
    <row r="35" spans="16:17">
      <c r="P35">
        <v>1</v>
      </c>
      <c r="Q35">
        <f>(C27+D27)/2</f>
        <v>8.3999999999999991E-2</v>
      </c>
    </row>
    <row r="36" spans="16:17">
      <c r="P36">
        <v>0.5</v>
      </c>
      <c r="Q36">
        <f>(C28+D28)/2</f>
        <v>7.0000000000000007E-2</v>
      </c>
    </row>
    <row r="37" spans="16:17">
      <c r="P37">
        <v>0.05</v>
      </c>
      <c r="Q37">
        <f>(C29+D29)/2</f>
        <v>5.5999999999999994E-2</v>
      </c>
    </row>
    <row r="38" spans="16:17">
      <c r="P38">
        <v>5.0000000000000001E-3</v>
      </c>
      <c r="Q38">
        <f>(C30+D30)/2</f>
        <v>5.2500000000000005E-2</v>
      </c>
    </row>
    <row r="39" spans="16:17">
      <c r="P39">
        <v>5.0000000000000001E-4</v>
      </c>
      <c r="Q39">
        <f>(C31+D31)/2</f>
        <v>5.0999999999999997E-2</v>
      </c>
    </row>
    <row r="40" spans="16:17">
      <c r="P40">
        <v>0</v>
      </c>
      <c r="Q40">
        <f>(C32+D32)/2</f>
        <v>4.9000000000000002E-2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2024-11-17T10:20:10Z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